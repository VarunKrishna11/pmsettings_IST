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nvidia-my.sharepoint.com/personal/ramyar_nvidia_com/Documents/GR10x/"/>
    </mc:Choice>
  </mc:AlternateContent>
  <xr:revisionPtr revIDLastSave="0" documentId="8_{6CA84101-D868-42B6-A3FD-9C43DD3EC64E}" xr6:coauthVersionLast="47" xr6:coauthVersionMax="47" xr10:uidLastSave="{00000000-0000-0000-0000-000000000000}"/>
  <bookViews>
    <workbookView xWindow="28680" yWindow="-120" windowWidth="29040" windowHeight="15720" tabRatio="760" xr2:uid="{8137407D-39A1-4369-B562-630A66ADB5CA}"/>
  </bookViews>
  <sheets>
    <sheet name="MATHS-IST" sheetId="1" r:id="rId1"/>
    <sheet name="RIST" sheetId="2" r:id="rId2"/>
    <sheet name="MATHS-IST_VFESetup" sheetId="3" r:id="rId3"/>
    <sheet name="RIST_VFESetup_TestVbios_entry" sheetId="4" state="hidden" r:id="rId4"/>
    <sheet name="LatestTestvbios_entries_Oct10" sheetId="5" state="hidden" r:id="rId5"/>
    <sheet name="Sheet4" sheetId="6" state="hidden" r:id="rId6"/>
  </sheets>
  <definedNames>
    <definedName name="_xlnm._FilterDatabase" localSheetId="4" hidden="1">LatestTestvbios_entries_Oct10!$M$24:$T$24</definedName>
    <definedName name="_xlnm._FilterDatabase" localSheetId="0" hidden="1">'MATHS-IST'!$B$3:$G$83</definedName>
    <definedName name="_xlnm._FilterDatabase" localSheetId="2" hidden="1">'MATHS-IST_VFESetup'!$B$2:$G$161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29" i="5" l="1"/>
  <c r="K28" i="5"/>
  <c r="M59" i="5"/>
  <c r="M72" i="5"/>
  <c r="M82" i="5"/>
  <c r="M45" i="5"/>
  <c r="N26" i="5"/>
  <c r="K27" i="5"/>
  <c r="N25" i="5"/>
  <c r="K26" i="5"/>
  <c r="M60" i="5" s="1"/>
  <c r="N27" i="5"/>
  <c r="K25" i="5"/>
  <c r="L26" i="4"/>
  <c r="L27" i="4"/>
  <c r="L25" i="4"/>
  <c r="K25" i="4"/>
  <c r="K26" i="4"/>
  <c r="K27" i="4"/>
  <c r="M46" i="5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3" i="1"/>
  <c r="E74" i="1"/>
  <c r="E75" i="1"/>
  <c r="E76" i="1"/>
  <c r="E77" i="1"/>
  <c r="E78" i="1"/>
  <c r="E79" i="1"/>
  <c r="E80" i="1"/>
  <c r="E81" i="1"/>
  <c r="E82" i="1"/>
  <c r="E83" i="1"/>
  <c r="E4" i="1"/>
  <c r="J95" i="2"/>
  <c r="J96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50" i="2"/>
  <c r="T4" i="2"/>
  <c r="K4" i="2"/>
  <c r="K6" i="2"/>
  <c r="K3" i="2"/>
  <c r="Q4" i="2"/>
  <c r="Q5" i="2" s="1"/>
  <c r="T5" i="2" l="1"/>
  <c r="Q6" i="2"/>
  <c r="N6" i="1"/>
  <c r="N7" i="1"/>
  <c r="N5" i="1"/>
  <c r="Q7" i="2" l="1"/>
  <c r="K7" i="2"/>
  <c r="T6" i="2"/>
  <c r="Q8" i="2" l="1"/>
  <c r="T7" i="2"/>
  <c r="Q9" i="2" l="1"/>
  <c r="T8" i="2"/>
  <c r="Q10" i="2" l="1"/>
  <c r="T9" i="2"/>
  <c r="Q11" i="2" l="1"/>
  <c r="T10" i="2"/>
  <c r="Q12" i="2" l="1"/>
  <c r="T11" i="2"/>
  <c r="Q13" i="2" l="1"/>
  <c r="T12" i="2"/>
  <c r="Q14" i="2" l="1"/>
  <c r="T13" i="2"/>
  <c r="Q15" i="2" l="1"/>
  <c r="T14" i="2"/>
  <c r="Q16" i="2" l="1"/>
  <c r="T15" i="2"/>
  <c r="T16" i="2" s="1"/>
  <c r="T17" i="2" s="1"/>
  <c r="T18" i="2" s="1"/>
  <c r="T19" i="2" s="1"/>
  <c r="T20" i="2" s="1"/>
  <c r="T21" i="2" s="1"/>
  <c r="T22" i="2" s="1"/>
  <c r="T23" i="2" s="1"/>
  <c r="T24" i="2" s="1"/>
  <c r="K51" i="2"/>
  <c r="K53" i="2"/>
  <c r="K54" i="2" l="1"/>
  <c r="K50" i="2"/>
  <c r="Q17" i="2"/>
  <c r="K60" i="2"/>
  <c r="Q18" i="2" l="1"/>
  <c r="K12" i="2"/>
  <c r="K64" i="2"/>
  <c r="K9" i="2"/>
  <c r="K18" i="2"/>
  <c r="K66" i="2"/>
  <c r="K63" i="2"/>
  <c r="K10" i="2"/>
  <c r="K62" i="2"/>
  <c r="K16" i="2"/>
  <c r="K61" i="2"/>
  <c r="K17" i="2"/>
  <c r="K59" i="2"/>
  <c r="K13" i="2"/>
  <c r="K11" i="2"/>
  <c r="K15" i="2"/>
  <c r="K8" i="2"/>
  <c r="Q19" i="2" l="1"/>
  <c r="K65" i="2"/>
  <c r="K19" i="2"/>
  <c r="Q20" i="2" l="1"/>
  <c r="K37" i="2" l="1"/>
  <c r="K36" i="2"/>
  <c r="K83" i="2"/>
  <c r="Q21" i="2"/>
  <c r="K79" i="2"/>
  <c r="K84" i="2"/>
  <c r="K80" i="2"/>
  <c r="K82" i="2"/>
  <c r="K81" i="2"/>
  <c r="Q22" i="2" l="1"/>
  <c r="Q23" i="2" l="1"/>
  <c r="Q24" i="2" l="1"/>
  <c r="K71" i="2"/>
  <c r="Q25" i="2" l="1"/>
  <c r="Q26" i="2" l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K85" i="2"/>
  <c r="K86" i="2"/>
  <c r="K89" i="2"/>
  <c r="K58" i="2" l="1"/>
  <c r="K38" i="2"/>
  <c r="K55" i="2"/>
  <c r="K57" i="2"/>
  <c r="K56" i="2"/>
  <c r="K39" i="2"/>
  <c r="K14" i="2"/>
  <c r="K26" i="2"/>
  <c r="K27" i="2"/>
  <c r="K20" i="2"/>
  <c r="K32" i="2"/>
  <c r="K40" i="2"/>
  <c r="K74" i="2"/>
  <c r="K67" i="2"/>
  <c r="K76" i="2"/>
  <c r="K21" i="2"/>
  <c r="K41" i="2"/>
  <c r="K75" i="2"/>
  <c r="K33" i="2"/>
  <c r="K42" i="2"/>
  <c r="K23" i="2"/>
  <c r="K48" i="2"/>
  <c r="K49" i="2"/>
  <c r="K22" i="2"/>
  <c r="K35" i="2"/>
  <c r="K29" i="2"/>
  <c r="K34" i="2"/>
  <c r="K28" i="2"/>
  <c r="K68" i="2"/>
  <c r="K31" i="2"/>
  <c r="K24" i="2"/>
  <c r="K69" i="2"/>
  <c r="K30" i="2"/>
  <c r="K25" i="2"/>
  <c r="K95" i="2"/>
  <c r="K72" i="2"/>
  <c r="K46" i="2"/>
  <c r="K73" i="2"/>
  <c r="K70" i="2"/>
  <c r="K88" i="2"/>
  <c r="K87" i="2"/>
  <c r="K77" i="2"/>
  <c r="K93" i="2"/>
  <c r="K78" i="2"/>
  <c r="K52" i="2"/>
  <c r="K96" i="2"/>
  <c r="K43" i="2"/>
  <c r="K94" i="2"/>
  <c r="K91" i="2"/>
  <c r="K92" i="2"/>
  <c r="K45" i="2"/>
  <c r="K90" i="2"/>
  <c r="K44" i="2"/>
  <c r="K4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tc={4C00BAC0-185D-49BE-B380-EFC5D6995B7E}</author>
  </authors>
  <commentList>
    <comment ref="M7" authorId="0" shapeId="0" xr:uid="{4C00BAC0-185D-49BE-B380-EFC5D6995B7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Baseline and 5 offset equations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tc={9E4280D6-F9ED-4901-AAE4-4238624EEF26}</author>
    <author>tc={B2CDE464-ADFA-430B-8084-4A63AAACB1A4}</author>
  </authors>
  <commentList>
    <comment ref="J25" authorId="0" shapeId="0" xr:uid="{9E4280D6-F9ED-4901-AAE4-4238624E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sku.html</t>
      </text>
    </comment>
    <comment ref="J29" authorId="1" shapeId="0" xr:uid="{B2CDE464-ADFA-430B-8084-4A63AAACB1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67 in vbios used
87 in sku.html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tc={DCE2FF8F-532C-4251-903D-49BB53CAAE8D}</author>
    <author>tc={9093801E-CE7A-4032-A15D-B52C2E926F91}</author>
  </authors>
  <commentList>
    <comment ref="J25" authorId="0" shapeId="0" xr:uid="{DCE2FF8F-532C-4251-903D-49BB53CAAE8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sku.html</t>
      </text>
    </comment>
    <comment ref="J35" authorId="1" shapeId="0" xr:uid="{9093801E-CE7A-4032-A15D-B52C2E926F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67 in vbios used
87 in sku.html
</t>
      </text>
    </comment>
  </commentList>
</comments>
</file>

<file path=xl/sharedStrings.xml><?xml version="1.0" encoding="utf-8"?>
<sst xmlns="http://schemas.openxmlformats.org/spreadsheetml/2006/main" count="1595" uniqueCount="335">
  <si>
    <t>TestPatternID</t>
  </si>
  <si>
    <t>TestPattern</t>
  </si>
  <si>
    <t>Mode/Pstate</t>
  </si>
  <si>
    <t>ModeName</t>
  </si>
  <si>
    <t>VoltageRail</t>
  </si>
  <si>
    <t>BaseSA</t>
  </si>
  <si>
    <t>Stuckat_Vmin</t>
  </si>
  <si>
    <t>NVVDD/MSVDD/SYSVDD_N/SYSVDD_S</t>
  </si>
  <si>
    <t>4 eqn</t>
  </si>
  <si>
    <t>IST-Type</t>
  </si>
  <si>
    <t>SW entity</t>
  </si>
  <si>
    <t>#modes (Pattern/Pstate)</t>
  </si>
  <si>
    <t>#voltage rails</t>
  </si>
  <si>
    <t>#VFE</t>
  </si>
  <si>
    <t>#equation entries (QuadN)</t>
  </si>
  <si>
    <t>BaseFTM2CLK</t>
  </si>
  <si>
    <t>P8</t>
  </si>
  <si>
    <t>MATHS-IST</t>
  </si>
  <si>
    <t>DevInit</t>
  </si>
  <si>
    <t>P0L</t>
  </si>
  <si>
    <t>RIST</t>
  </si>
  <si>
    <t>RM-PMU</t>
  </si>
  <si>
    <t>P0M_LT</t>
  </si>
  <si>
    <t>RIST-Adaptive</t>
  </si>
  <si>
    <t>P0M_HT</t>
  </si>
  <si>
    <t>P0H_LT</t>
  </si>
  <si>
    <t>P0H_HT</t>
  </si>
  <si>
    <t>FseqRAMSeq</t>
  </si>
  <si>
    <t>Bridging</t>
  </si>
  <si>
    <t>CAD</t>
  </si>
  <si>
    <t>SDD</t>
  </si>
  <si>
    <t>Fseq</t>
  </si>
  <si>
    <t>CAS</t>
  </si>
  <si>
    <t>MBIST</t>
  </si>
  <si>
    <t>P8_LVA</t>
  </si>
  <si>
    <t>P8_NA</t>
  </si>
  <si>
    <t>P8_HVA</t>
  </si>
  <si>
    <t>Bypass_LVA_Vmin</t>
  </si>
  <si>
    <t>Bypass_NA_Vmin</t>
  </si>
  <si>
    <t>Bypass_HVA_Vmin</t>
  </si>
  <si>
    <t>Bypass_LVA_Vmax</t>
  </si>
  <si>
    <t>Bypass_NA_Vmax</t>
  </si>
  <si>
    <t>80modes* 4 rails</t>
  </si>
  <si>
    <t>320 entries in devinit</t>
  </si>
  <si>
    <t>Bypass_HVA_Vmax</t>
  </si>
  <si>
    <t>P0H_LT_Vmax</t>
  </si>
  <si>
    <t>P0H_HT_Vmax</t>
  </si>
  <si>
    <t>BaseFTM</t>
  </si>
  <si>
    <t>Stuckat_Vmax</t>
  </si>
  <si>
    <t>PMBIST</t>
  </si>
  <si>
    <t>P0</t>
  </si>
  <si>
    <t>HBMVDD</t>
  </si>
  <si>
    <t>P1</t>
  </si>
  <si>
    <t>P2</t>
  </si>
  <si>
    <t>P3</t>
  </si>
  <si>
    <t>ShiftOnly</t>
  </si>
  <si>
    <t>Stuckat</t>
  </si>
  <si>
    <t>Extest</t>
  </si>
  <si>
    <t>Exhaustive</t>
  </si>
  <si>
    <t>FSTP</t>
  </si>
  <si>
    <t>TPTP</t>
  </si>
  <si>
    <t>CATA</t>
  </si>
  <si>
    <t>MBIST_MarchSS</t>
  </si>
  <si>
    <t>Bypass_HVA_VMax</t>
  </si>
  <si>
    <t>cpu</t>
  </si>
  <si>
    <t>LWBIST</t>
  </si>
  <si>
    <t>MVRAM</t>
  </si>
  <si>
    <t>NVVDD/MSVDD</t>
  </si>
  <si>
    <t>HammerRead</t>
  </si>
  <si>
    <t>ROMBIST</t>
  </si>
  <si>
    <t>TCAM</t>
  </si>
  <si>
    <t>Sample</t>
  </si>
  <si>
    <t>RISTItemEntry</t>
  </si>
  <si>
    <t>TestPattern PerfLevel ID</t>
  </si>
  <si>
    <t>Description</t>
  </si>
  <si>
    <t>PatternID</t>
  </si>
  <si>
    <t>Pattern</t>
  </si>
  <si>
    <t>PerfLevelID</t>
  </si>
  <si>
    <t>Pstate</t>
  </si>
  <si>
    <t>SA_SH</t>
  </si>
  <si>
    <t>STUCKAT</t>
  </si>
  <si>
    <t>SA_BASE</t>
  </si>
  <si>
    <t>STUCKAT_Vmax</t>
  </si>
  <si>
    <t>SA_FS</t>
  </si>
  <si>
    <t>P8FLAT</t>
  </si>
  <si>
    <t>SA_EXT</t>
  </si>
  <si>
    <t>SA_BR</t>
  </si>
  <si>
    <t>SA_FSTP</t>
  </si>
  <si>
    <t>SA_TPTP</t>
  </si>
  <si>
    <t>SA_EXHAUSTIVE</t>
  </si>
  <si>
    <t>FTM_NAFLL</t>
  </si>
  <si>
    <t>FTM_ALLSEQ_NAFLL</t>
  </si>
  <si>
    <t>FTM_EXT_NAFLL</t>
  </si>
  <si>
    <t>FTM_BR_NAFLL</t>
  </si>
  <si>
    <t>STUCKAT_Adaptive</t>
  </si>
  <si>
    <t>FTM_FSTP_NAFLL</t>
  </si>
  <si>
    <t>STUCKAT_Vmax_Adaptive</t>
  </si>
  <si>
    <t>FTM_TPTP_NAFLL</t>
  </si>
  <si>
    <t>P8FLAT_Adaptive</t>
  </si>
  <si>
    <t>FTM_PLL</t>
  </si>
  <si>
    <t>P8_Adaptive</t>
  </si>
  <si>
    <t>FTM_ALLSEQ_PLL</t>
  </si>
  <si>
    <t>P0L_Adaptive</t>
  </si>
  <si>
    <t>FTM_EXT_PLL</t>
  </si>
  <si>
    <t>P0M_LT_Adaptive</t>
  </si>
  <si>
    <t>FTM_BR_PLL</t>
  </si>
  <si>
    <t>P0M_HT_Adaptive</t>
  </si>
  <si>
    <t>FTM_FSTP_PLL</t>
  </si>
  <si>
    <t>P0H_LT_Adaptive</t>
  </si>
  <si>
    <t>FTM_TPTP_PLL</t>
  </si>
  <si>
    <t>P0H_HT_Adaptive</t>
  </si>
  <si>
    <t>CAD_NAFLL</t>
  </si>
  <si>
    <t>P0H_LT_Vmax_Adaptive</t>
  </si>
  <si>
    <t>CAD_PLL</t>
  </si>
  <si>
    <t>P0H_HT_Vmax_Adaptive</t>
  </si>
  <si>
    <t>CATA_NAFLL</t>
  </si>
  <si>
    <t>CATA_PLL</t>
  </si>
  <si>
    <t>SDD_NAFLL</t>
  </si>
  <si>
    <t>SDD_PLL</t>
  </si>
  <si>
    <t>SSN_SELFTEST_CONT</t>
  </si>
  <si>
    <t>SSN_SELFTEST_LPBK</t>
  </si>
  <si>
    <t>SSN_SELFTEST_ONCC</t>
  </si>
  <si>
    <t>MBIST_SHORT_BYP</t>
  </si>
  <si>
    <t>MBIST_SHORT_NAFLL</t>
  </si>
  <si>
    <t>MBIST_BYP</t>
  </si>
  <si>
    <t>MBIST_BYP_RA</t>
  </si>
  <si>
    <t>MBIST_BYP_WA</t>
  </si>
  <si>
    <t>MBIST_BYP_WAplusRA</t>
  </si>
  <si>
    <t>MBIST_BYP_WAplusRASlowSVOP</t>
  </si>
  <si>
    <t>MBIST_BYP_TURBORA</t>
  </si>
  <si>
    <t>MBIST_NAFLL</t>
  </si>
  <si>
    <t>MBIST_NAFLL_RA</t>
  </si>
  <si>
    <t>MBIST_NAFLL_WA</t>
  </si>
  <si>
    <t>MBIST_NAFLL_WAplusRA</t>
  </si>
  <si>
    <t>MBIST_NAFLL_WAplusRASlowSVOP</t>
  </si>
  <si>
    <t>MBIST_NAFLL_TURBORA</t>
  </si>
  <si>
    <t>MBIST_PLL</t>
  </si>
  <si>
    <t>MBIST_PLL_RA</t>
  </si>
  <si>
    <t>MBIST_PLL_WA</t>
  </si>
  <si>
    <t>MBIST_PLL_WAplusRA</t>
  </si>
  <si>
    <t>MBIST_PLL_WAplusRASlowSVOP</t>
  </si>
  <si>
    <t>MBIST_PLL_TURBORA</t>
  </si>
  <si>
    <t>MBIST_HAMMER_READ</t>
  </si>
  <si>
    <t>MBIST_HAMMER_READ_RA</t>
  </si>
  <si>
    <t>MBIST_HAMMER_READ_WA</t>
  </si>
  <si>
    <t>MBIST_HAMMER_READ_WAplusRA</t>
  </si>
  <si>
    <t>MBIST_HAMMER_READ_WAplusRASlowSVOP</t>
  </si>
  <si>
    <t>MBIST_HAMMER_READ_TURBORA</t>
  </si>
  <si>
    <t>MBIST_MARCHSS</t>
  </si>
  <si>
    <t>MBIST_MARCHSS_RA</t>
  </si>
  <si>
    <t>MBIST_MARCHSS_WA</t>
  </si>
  <si>
    <t>MBIST_MARCHSS_WAplusRA</t>
  </si>
  <si>
    <t>MBIST_MARCHSS_WAplusRASlowSVOP</t>
  </si>
  <si>
    <t>MBIST_MARCHSS_TURBORA</t>
  </si>
  <si>
    <t>LWBIST_BYP</t>
  </si>
  <si>
    <t>LWBIST_NAFLL</t>
  </si>
  <si>
    <t>LWBIST_PLL</t>
  </si>
  <si>
    <t>VFE#</t>
  </si>
  <si>
    <t>Voltage Domain</t>
  </si>
  <si>
    <t>Thermeqtype</t>
  </si>
  <si>
    <t>Variable</t>
  </si>
  <si>
    <t>Value</t>
  </si>
  <si>
    <t>BaseSA_Stuckat_Vmin</t>
  </si>
  <si>
    <t>NVVDDI_0, NVVDDI_1</t>
  </si>
  <si>
    <t>Vmin_Curves</t>
  </si>
  <si>
    <t>Speedo, TempGpcMin</t>
  </si>
  <si>
    <t>//hw/chpsoln/correlation/ppbData/prodDef/por/gr10x/inputs/ist_settings.pm</t>
  </si>
  <si>
    <t>BaseFTM2CLK_P8</t>
  </si>
  <si>
    <t>//hw/chpsoln/correlation/ppbData/prodDef/por/gr10x/inputs/fixed_inputs.pm</t>
  </si>
  <si>
    <t>FseqRAMSeq_P8</t>
  </si>
  <si>
    <t>//hw/chpsoln/correlation/ppbData/prodDef/por/gr10x/inputs/thermal_table.pm</t>
  </si>
  <si>
    <t>Bridging_P8</t>
  </si>
  <si>
    <t>CAD_P8</t>
  </si>
  <si>
    <t>SDD_P8</t>
  </si>
  <si>
    <t>Fseq_Stuckat_Vmin</t>
  </si>
  <si>
    <t>Bridging_Stuckat_Vmin</t>
  </si>
  <si>
    <t>CAS_Stuckat_Vmin</t>
  </si>
  <si>
    <t>MBIST_P8_LVA</t>
  </si>
  <si>
    <t>MBIST_P8_NA</t>
  </si>
  <si>
    <t>MBIST_P8_HVA</t>
  </si>
  <si>
    <t>MBIST_Bypass_LVA_Vmin</t>
  </si>
  <si>
    <t>MBIST_Bypass_NA_Vmin</t>
  </si>
  <si>
    <t>MBIST_Bypass_HVA_Vmin</t>
  </si>
  <si>
    <t>MSVDDI_0, MSVDDI_1</t>
  </si>
  <si>
    <t>Speedo, TempGpuMin</t>
  </si>
  <si>
    <t>SYSVDDI</t>
  </si>
  <si>
    <t>Speedo, TempIoNAvg</t>
  </si>
  <si>
    <t>BaseFTM2CLK_P0L</t>
  </si>
  <si>
    <t>VF_Curves</t>
  </si>
  <si>
    <t>Speedo,TempGpcAvg</t>
  </si>
  <si>
    <t>BaseFTM2CLK_P0M_LT</t>
  </si>
  <si>
    <t>BaseFTM2CLK_P0M_HT</t>
  </si>
  <si>
    <t>FseqRAMSeq_P0L</t>
  </si>
  <si>
    <t>FseqRAMSeq_P0M_LT</t>
  </si>
  <si>
    <t>FseqRAMSeq_P0M_HT</t>
  </si>
  <si>
    <t>Bridging_P0L</t>
  </si>
  <si>
    <t>Bridging_P0M_LT</t>
  </si>
  <si>
    <t>Bridging_P0M_HT</t>
  </si>
  <si>
    <t>CAD_P0L</t>
  </si>
  <si>
    <t>CAD_P0M_LT</t>
  </si>
  <si>
    <t>CAD_P0M_HT</t>
  </si>
  <si>
    <t>SDD_P0L</t>
  </si>
  <si>
    <t>SDD_P0M_LT</t>
  </si>
  <si>
    <t>SDD_P0M_HT</t>
  </si>
  <si>
    <t>MBIST_P0L</t>
  </si>
  <si>
    <t>MBIST_P0M_LT</t>
  </si>
  <si>
    <t>MBIST_P0M_HT</t>
  </si>
  <si>
    <t>Speedo,TempGpuAvg</t>
  </si>
  <si>
    <t>BaseFTM2CLK_P0H_LT</t>
  </si>
  <si>
    <t>BaseFTM2CLK_P0H_HT</t>
  </si>
  <si>
    <t>FseqRAMSeq_P0H_LT</t>
  </si>
  <si>
    <t>FseqRAMSeq_P0H_HT</t>
  </si>
  <si>
    <t>Bridging_P0H_LT</t>
  </si>
  <si>
    <t>Bridging_P0H_HT</t>
  </si>
  <si>
    <t>CAD_P0H_LT</t>
  </si>
  <si>
    <t>CAD_P0H_HT</t>
  </si>
  <si>
    <t>SDD_P0H_LT</t>
  </si>
  <si>
    <t>SDD_P0H_HT</t>
  </si>
  <si>
    <t>MBIST_P0H_LT</t>
  </si>
  <si>
    <t>MBIST_P0H_HT</t>
  </si>
  <si>
    <t>MBIST_Bypass_LVA_Vmax</t>
  </si>
  <si>
    <t>MBIST_Bypass_NA_Vmax</t>
  </si>
  <si>
    <t>MBIST_Bypass_HVA_Vmax</t>
  </si>
  <si>
    <t>MBIST_P0H_LT_Vmax</t>
  </si>
  <si>
    <t>MBIST_P0H_HT_Vmax</t>
  </si>
  <si>
    <t>BaseFTM_Stuckat_Vmax</t>
  </si>
  <si>
    <t>BaseFTM_P0H_LT_Vmax</t>
  </si>
  <si>
    <t>BaseFTM_P0H_HT_Vmax</t>
  </si>
  <si>
    <t>RIST Base Entry</t>
  </si>
  <si>
    <t>Field</t>
  </si>
  <si>
    <t>Comment</t>
  </si>
  <si>
    <t>Type</t>
  </si>
  <si>
    <t>0x1</t>
  </si>
  <si>
    <t>1 means Enabled</t>
  </si>
  <si>
    <t>Clock Domains Affected - Mask</t>
  </si>
  <si>
    <r>
      <rPr>
        <strike/>
        <sz val="11"/>
        <color rgb="FFFF000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1</t>
    </r>
  </si>
  <si>
    <t>InitCheck says nonzero. So, set to 0x1</t>
  </si>
  <si>
    <t>Voltage Rails Affected - Mask</t>
  </si>
  <si>
    <t>Index0 is NVVDDI</t>
  </si>
  <si>
    <t>Param0</t>
  </si>
  <si>
    <t>RIST entry transition voltage in uV</t>
  </si>
  <si>
    <t>Param1</t>
  </si>
  <si>
    <t>RIST Exit transition voltage in uV</t>
  </si>
  <si>
    <t>Param2</t>
  </si>
  <si>
    <t>[7:0] = VFE Variable Index for the T0-Vmin value (0xFF for invalid)
[15:8] = VFE Variable Index for the T0 temperature value (0xFF for invalid)
[23:16] = VFE Variable Index for the BBX Model (Tau) value (0xFF for invalid)</t>
  </si>
  <si>
    <t>VFE Variable Index</t>
  </si>
  <si>
    <t xml:space="preserve">Start VFE Independent Variable Index at </t>
  </si>
  <si>
    <t>VFE Index</t>
  </si>
  <si>
    <t>ID</t>
  </si>
  <si>
    <t>bIsFloatingPoint32</t>
  </si>
  <si>
    <t>Default</t>
  </si>
  <si>
    <t>Min</t>
  </si>
  <si>
    <t>Max</t>
  </si>
  <si>
    <t>BaseStuckAt</t>
  </si>
  <si>
    <t>Pattern Name</t>
  </si>
  <si>
    <t>Speedo</t>
  </si>
  <si>
    <t>Tau</t>
  </si>
  <si>
    <t>Unspecified</t>
  </si>
  <si>
    <t>signed Int</t>
  </si>
  <si>
    <t>0xff7ffffd</t>
  </si>
  <si>
    <t>0x7f7ffffd</t>
  </si>
  <si>
    <t>RIST Item Entry</t>
  </si>
  <si>
    <t>SA_BASE_STUCKAT</t>
  </si>
  <si>
    <t>TempGpcMin</t>
  </si>
  <si>
    <t>T0-Vmin</t>
  </si>
  <si>
    <t>TempGpcAvg</t>
  </si>
  <si>
    <t>T0-Temperature</t>
  </si>
  <si>
    <t>Vmin</t>
  </si>
  <si>
    <t>Quad6 Variables</t>
  </si>
  <si>
    <t>Literal</t>
  </si>
  <si>
    <t>Const</t>
  </si>
  <si>
    <t>X</t>
  </si>
  <si>
    <t>X^2</t>
  </si>
  <si>
    <t>Y</t>
  </si>
  <si>
    <t>Y^2</t>
  </si>
  <si>
    <t>XY</t>
  </si>
  <si>
    <t>Last VFE Independent Variable Index</t>
  </si>
  <si>
    <t>IEEE754 - 49435000</t>
  </si>
  <si>
    <t>BaseStuckAt- Adaptive</t>
  </si>
  <si>
    <t>SA_BASE_STUCKAT_Adaptive</t>
  </si>
  <si>
    <t>Baseline</t>
  </si>
  <si>
    <t>Quad6</t>
  </si>
  <si>
    <t>VF Equation Parameter last used in vbios</t>
  </si>
  <si>
    <t>VFE Equation Index last used in vbios</t>
  </si>
  <si>
    <t>21xx</t>
  </si>
  <si>
    <t>Aging Offset</t>
  </si>
  <si>
    <t>Quad3 Variables</t>
  </si>
  <si>
    <t>tau</t>
  </si>
  <si>
    <t>VFE Eq Index</t>
  </si>
  <si>
    <t>Pointer</t>
  </si>
  <si>
    <t>Class</t>
  </si>
  <si>
    <t>ParameterPointerEntry</t>
  </si>
  <si>
    <t>Next Index Entry</t>
  </si>
  <si>
    <t>Flavor</t>
  </si>
  <si>
    <t>QuadraticN</t>
  </si>
  <si>
    <t>Quadratic6</t>
  </si>
  <si>
    <t>IEEE754 - 3dcccccd</t>
  </si>
  <si>
    <t>Parameter Index</t>
  </si>
  <si>
    <t>Literal Constant</t>
  </si>
  <si>
    <t>Variable Index</t>
  </si>
  <si>
    <t xml:space="preserve">Variable </t>
  </si>
  <si>
    <t>21 (Speedo) - 0x15</t>
  </si>
  <si>
    <t>Intermittency Offset</t>
  </si>
  <si>
    <t>Quad3</t>
  </si>
  <si>
    <t>34 (TempGpcMin) - 0x22</t>
  </si>
  <si>
    <t>800000 --&gt; 0x49435000</t>
  </si>
  <si>
    <t>IEEE754 - 461c4000</t>
  </si>
  <si>
    <t>BaseStuckAtAdaptive-Baseline</t>
  </si>
  <si>
    <t>BaseStuckAt-Adaptive-Baseline</t>
  </si>
  <si>
    <t>BaseStuckAtAdaptive-AgingOffset</t>
  </si>
  <si>
    <t>Quadratic3</t>
  </si>
  <si>
    <t>BaseStuckAt-Adaptive-AgingOffset</t>
  </si>
  <si>
    <t>100 (Tau) - 0x64</t>
  </si>
  <si>
    <t>0.1 --&gt; 0x3dcccccd</t>
  </si>
  <si>
    <t>BaseStuckAtAdaptive-IntermittencyOffset</t>
  </si>
  <si>
    <t>10000 --&gt; 0x461c4000</t>
  </si>
  <si>
    <t>GR102</t>
  </si>
  <si>
    <t>100
101
102</t>
  </si>
  <si>
    <t>VFE Variable Index Entries - Existing</t>
  </si>
  <si>
    <t>VFE Variable Entries - to add - globally specified variables</t>
  </si>
  <si>
    <t>VFE Index Hex</t>
  </si>
  <si>
    <t>VFE Index - Hex</t>
  </si>
  <si>
    <t>TempGpcMin (Oct15 entry)</t>
  </si>
  <si>
    <t>TempGpcAvg (Oct15 Entry)</t>
  </si>
  <si>
    <t>VFE Parameter Entries</t>
  </si>
  <si>
    <t>Current bss --&gt;</t>
  </si>
  <si>
    <t>x15</t>
  </si>
  <si>
    <t>x21</t>
  </si>
  <si>
    <t>VBIOS Flavor ID</t>
  </si>
  <si>
    <t>VBIOS Name</t>
  </si>
  <si>
    <t>VFE Index Entry for Speedo</t>
  </si>
  <si>
    <t>VFE Index Entry for TempGpcMin</t>
  </si>
  <si>
    <t># of VFE Independent Variables</t>
  </si>
  <si>
    <t>#Parameter Entries</t>
  </si>
  <si>
    <t>#VFE Equations in vbios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</si>
</sst>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  <font>
      <strike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12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/>
    <xf numFmtId="0" fontId="3" fillId="4" borderId="1" xfId="0" applyFont="1" applyFill="1" applyBorder="1"/>
    <xf numFmtId="0" fontId="0" fillId="0" borderId="23" xfId="0" applyBorder="1"/>
    <xf numFmtId="0" fontId="0" fillId="0" borderId="24" xfId="0" applyBorder="1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>
      <alignment wrapText="1"/>
    </xf>
    <xf numFmtId="0" fontId="0" fillId="2" borderId="25" xfId="0" applyFill="1" applyBorder="1"/>
    <xf numFmtId="0" fontId="0" fillId="5" borderId="0" xfId="0" applyFill="1"/>
    <xf numFmtId="0" fontId="0" fillId="5" borderId="1" xfId="0" applyFill="1" applyBorder="1"/>
    <xf numFmtId="0" fontId="0" fillId="6" borderId="0" xfId="0" applyFill="1"/>
    <xf numFmtId="0" fontId="1" fillId="7" borderId="0" xfId="0" applyFont="1" applyFill="1"/>
    <xf numFmtId="0" fontId="0" fillId="7" borderId="1" xfId="0" applyFill="1" applyBorder="1"/>
    <xf numFmtId="0" fontId="1" fillId="2" borderId="0" xfId="0" applyFont="1" applyFill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ya Raman" id="{E2683F89-A854-4509-BA5D-2B4E408018C7}" userId="S::ramyar@nvidia.com::3d749649-980f-4758-93fc-28c23feda2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7" dT="2025-09-15T16:54:59.07" personId="{E2683F89-A854-4509-BA5D-2B4E408018C7}" id="{4C00BAC0-185D-49BE-B380-EFC5D6995B7E}">
    <text>Baseline and 5 offset equations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5" dT="2025-10-10T22:41:52.90" personId="{E2683F89-A854-4509-BA5D-2B4E408018C7}" id="{9E4280D6-F9ED-4901-AAE4-4238624EEF26}">
    <text>Based on sku.html</text>
  </threadedComment>
  <threadedComment ref="J29" dT="2025-10-10T22:41:40.47" personId="{E2683F89-A854-4509-BA5D-2B4E408018C7}" id="{B2CDE464-ADFA-430B-8084-4A63AAACB1A4}">
    <text xml:space="preserve">67 in vbios used
87 in sku.html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25" dT="2025-10-10T22:41:52.90" personId="{E2683F89-A854-4509-BA5D-2B4E408018C7}" id="{DCE2FF8F-532C-4251-903D-49BB53CAAE8D}">
    <text>Based on sku.html</text>
  </threadedComment>
  <threadedComment ref="J35" dT="2025-10-10T22:41:40.47" personId="{E2683F89-A854-4509-BA5D-2B4E408018C7}" id="{9093801E-CE7A-4032-A15D-B52C2E926F91}">
    <text xml:space="preserve">67 in vbios used
87 in sku.html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7C0C-FFCB-488E-8411-6039777D2C96}">
  <dimension ref="B2:N83"/>
  <sheetViews>
    <sheetView tabSelected="1" topLeftCell="A39" zoomScaleNormal="100" workbookViewId="0">
      <selection activeCell="E72" sqref="E72"/>
    </sheetView>
  </sheetViews>
  <sheetFormatPr defaultRowHeight="15"/>
  <cols>
    <col min="2" max="2" width="12.7109375" bestFit="1" customWidth="1"/>
    <col min="3" max="3" width="13.5703125" hidden="1" customWidth="1"/>
    <col min="4" max="4" width="16.28515625" hidden="1" customWidth="1"/>
    <col min="5" max="5" width="34" customWidth="1"/>
    <col min="6" max="6" width="34.85546875" bestFit="1" customWidth="1"/>
    <col min="8" max="8" width="8.85546875" customWidth="1"/>
    <col min="9" max="9" width="13.140625" customWidth="1"/>
    <col min="10" max="10" width="8.85546875" customWidth="1"/>
    <col min="11" max="11" width="13.140625" customWidth="1"/>
    <col min="12" max="12" width="11" customWidth="1"/>
    <col min="13" max="13" width="12.7109375" customWidth="1"/>
    <col min="14" max="14" width="10.85546875" customWidth="1"/>
    <col min="15" max="16" width="8.85546875" customWidth="1"/>
  </cols>
  <sheetData>
    <row r="2" spans="2:14" ht="15.75" thickBot="1"/>
    <row r="3" spans="2:14" ht="15.75" thickBot="1">
      <c r="B3" s="21" t="s">
        <v>0</v>
      </c>
      <c r="C3" s="15" t="s">
        <v>1</v>
      </c>
      <c r="D3" s="9" t="s">
        <v>2</v>
      </c>
      <c r="E3" s="30" t="s">
        <v>3</v>
      </c>
      <c r="F3" s="10" t="s">
        <v>4</v>
      </c>
    </row>
    <row r="4" spans="2:14" ht="45.75" thickBot="1">
      <c r="B4" s="22">
        <v>0</v>
      </c>
      <c r="C4" s="16" t="s">
        <v>5</v>
      </c>
      <c r="D4" s="11" t="s">
        <v>6</v>
      </c>
      <c r="E4" s="31" t="str">
        <f>CONCATENATE(C4,"_",D4)</f>
        <v>BaseSA_Stuckat_Vmin</v>
      </c>
      <c r="F4" s="12" t="s">
        <v>7</v>
      </c>
      <c r="G4" t="s">
        <v>8</v>
      </c>
      <c r="I4" s="1" t="s">
        <v>9</v>
      </c>
      <c r="J4" s="1" t="s">
        <v>10</v>
      </c>
      <c r="K4" s="13" t="s">
        <v>11</v>
      </c>
      <c r="L4" s="1" t="s">
        <v>12</v>
      </c>
      <c r="M4" s="1" t="s">
        <v>13</v>
      </c>
      <c r="N4" s="13" t="s">
        <v>14</v>
      </c>
    </row>
    <row r="5" spans="2:14">
      <c r="B5" s="23">
        <v>1</v>
      </c>
      <c r="C5" s="17" t="s">
        <v>15</v>
      </c>
      <c r="D5" s="3" t="s">
        <v>16</v>
      </c>
      <c r="E5" s="31" t="str">
        <f t="shared" ref="E5:E68" si="0">CONCATENATE(C5,"_",D5)</f>
        <v>BaseFTM2CLK_P8</v>
      </c>
      <c r="F5" s="5" t="s">
        <v>7</v>
      </c>
      <c r="I5" s="1" t="s">
        <v>17</v>
      </c>
      <c r="J5" s="1" t="s">
        <v>18</v>
      </c>
      <c r="K5" s="1">
        <v>80</v>
      </c>
      <c r="L5" s="1">
        <v>4</v>
      </c>
      <c r="M5" s="1">
        <v>1</v>
      </c>
      <c r="N5" s="1">
        <f>K5*L5*M5</f>
        <v>320</v>
      </c>
    </row>
    <row r="6" spans="2:14">
      <c r="B6" s="23">
        <v>2</v>
      </c>
      <c r="C6" s="18" t="s">
        <v>15</v>
      </c>
      <c r="D6" s="1" t="s">
        <v>19</v>
      </c>
      <c r="E6" s="31" t="str">
        <f t="shared" si="0"/>
        <v>BaseFTM2CLK_P0L</v>
      </c>
      <c r="F6" s="5" t="s">
        <v>7</v>
      </c>
      <c r="I6" s="1" t="s">
        <v>20</v>
      </c>
      <c r="J6" s="1" t="s">
        <v>21</v>
      </c>
      <c r="K6" s="1">
        <v>80</v>
      </c>
      <c r="L6" s="1">
        <v>1</v>
      </c>
      <c r="M6" s="1">
        <v>1</v>
      </c>
      <c r="N6" s="1">
        <f t="shared" ref="N6:N7" si="1">K6*L6*M6</f>
        <v>80</v>
      </c>
    </row>
    <row r="7" spans="2:14">
      <c r="B7" s="23">
        <v>3</v>
      </c>
      <c r="C7" s="18" t="s">
        <v>15</v>
      </c>
      <c r="D7" s="1" t="s">
        <v>22</v>
      </c>
      <c r="E7" s="31" t="str">
        <f t="shared" si="0"/>
        <v>BaseFTM2CLK_P0M_LT</v>
      </c>
      <c r="F7" s="5" t="s">
        <v>7</v>
      </c>
      <c r="I7" s="1" t="s">
        <v>23</v>
      </c>
      <c r="J7" s="1" t="s">
        <v>21</v>
      </c>
      <c r="K7" s="1">
        <v>80</v>
      </c>
      <c r="L7" s="1">
        <v>1</v>
      </c>
      <c r="M7" s="1">
        <v>6</v>
      </c>
      <c r="N7" s="1">
        <f t="shared" si="1"/>
        <v>480</v>
      </c>
    </row>
    <row r="8" spans="2:14">
      <c r="B8" s="23">
        <v>4</v>
      </c>
      <c r="C8" s="18" t="s">
        <v>15</v>
      </c>
      <c r="D8" s="1" t="s">
        <v>24</v>
      </c>
      <c r="E8" s="31" t="str">
        <f t="shared" si="0"/>
        <v>BaseFTM2CLK_P0M_HT</v>
      </c>
      <c r="F8" s="5" t="s">
        <v>7</v>
      </c>
    </row>
    <row r="9" spans="2:14" ht="15.75" thickBot="1">
      <c r="B9" s="23">
        <v>5</v>
      </c>
      <c r="C9" s="18" t="s">
        <v>15</v>
      </c>
      <c r="D9" s="1" t="s">
        <v>25</v>
      </c>
      <c r="E9" s="31" t="str">
        <f t="shared" si="0"/>
        <v>BaseFTM2CLK_P0H_LT</v>
      </c>
      <c r="F9" s="7" t="s">
        <v>7</v>
      </c>
    </row>
    <row r="10" spans="2:14" ht="15.75" thickBot="1">
      <c r="B10" s="23">
        <v>6</v>
      </c>
      <c r="C10" s="19" t="s">
        <v>15</v>
      </c>
      <c r="D10" s="6" t="s">
        <v>26</v>
      </c>
      <c r="E10" s="31" t="str">
        <f t="shared" si="0"/>
        <v>BaseFTM2CLK_P0H_HT</v>
      </c>
      <c r="F10" s="4" t="s">
        <v>7</v>
      </c>
    </row>
    <row r="11" spans="2:14">
      <c r="B11" s="23">
        <v>7</v>
      </c>
      <c r="C11" s="17" t="s">
        <v>27</v>
      </c>
      <c r="D11" s="3" t="s">
        <v>16</v>
      </c>
      <c r="E11" s="31" t="str">
        <f t="shared" si="0"/>
        <v>FseqRAMSeq_P8</v>
      </c>
      <c r="F11" s="5" t="s">
        <v>7</v>
      </c>
    </row>
    <row r="12" spans="2:14">
      <c r="B12" s="23">
        <v>8</v>
      </c>
      <c r="C12" s="18" t="s">
        <v>27</v>
      </c>
      <c r="D12" s="1" t="s">
        <v>19</v>
      </c>
      <c r="E12" s="31" t="str">
        <f t="shared" si="0"/>
        <v>FseqRAMSeq_P0L</v>
      </c>
      <c r="F12" s="5" t="s">
        <v>7</v>
      </c>
    </row>
    <row r="13" spans="2:14">
      <c r="B13" s="23">
        <v>9</v>
      </c>
      <c r="C13" s="18" t="s">
        <v>27</v>
      </c>
      <c r="D13" s="1" t="s">
        <v>22</v>
      </c>
      <c r="E13" s="31" t="str">
        <f t="shared" si="0"/>
        <v>FseqRAMSeq_P0M_LT</v>
      </c>
      <c r="F13" s="5" t="s">
        <v>7</v>
      </c>
    </row>
    <row r="14" spans="2:14">
      <c r="B14" s="23">
        <v>10</v>
      </c>
      <c r="C14" s="18" t="s">
        <v>27</v>
      </c>
      <c r="D14" s="1" t="s">
        <v>24</v>
      </c>
      <c r="E14" s="31" t="str">
        <f t="shared" si="0"/>
        <v>FseqRAMSeq_P0M_HT</v>
      </c>
      <c r="F14" s="5" t="s">
        <v>7</v>
      </c>
    </row>
    <row r="15" spans="2:14" ht="15.75" thickBot="1">
      <c r="B15" s="23">
        <v>11</v>
      </c>
      <c r="C15" s="18" t="s">
        <v>27</v>
      </c>
      <c r="D15" s="1" t="s">
        <v>25</v>
      </c>
      <c r="E15" s="31" t="str">
        <f t="shared" si="0"/>
        <v>FseqRAMSeq_P0H_LT</v>
      </c>
      <c r="F15" s="8" t="s">
        <v>7</v>
      </c>
    </row>
    <row r="16" spans="2:14" ht="15.75" thickBot="1">
      <c r="B16" s="23">
        <v>12</v>
      </c>
      <c r="C16" s="20" t="s">
        <v>27</v>
      </c>
      <c r="D16" s="2" t="s">
        <v>26</v>
      </c>
      <c r="E16" s="31" t="str">
        <f t="shared" si="0"/>
        <v>FseqRAMSeq_P0H_HT</v>
      </c>
      <c r="F16" s="4" t="s">
        <v>7</v>
      </c>
    </row>
    <row r="17" spans="2:6">
      <c r="B17" s="23">
        <v>13</v>
      </c>
      <c r="C17" s="17" t="s">
        <v>28</v>
      </c>
      <c r="D17" s="3" t="s">
        <v>16</v>
      </c>
      <c r="E17" s="31" t="str">
        <f t="shared" si="0"/>
        <v>Bridging_P8</v>
      </c>
      <c r="F17" s="5" t="s">
        <v>7</v>
      </c>
    </row>
    <row r="18" spans="2:6">
      <c r="B18" s="23">
        <v>14</v>
      </c>
      <c r="C18" s="18" t="s">
        <v>28</v>
      </c>
      <c r="D18" s="1" t="s">
        <v>19</v>
      </c>
      <c r="E18" s="31" t="str">
        <f t="shared" si="0"/>
        <v>Bridging_P0L</v>
      </c>
      <c r="F18" s="5" t="s">
        <v>7</v>
      </c>
    </row>
    <row r="19" spans="2:6">
      <c r="B19" s="23">
        <v>15</v>
      </c>
      <c r="C19" s="18" t="s">
        <v>28</v>
      </c>
      <c r="D19" s="1" t="s">
        <v>22</v>
      </c>
      <c r="E19" s="31" t="str">
        <f t="shared" si="0"/>
        <v>Bridging_P0M_LT</v>
      </c>
      <c r="F19" s="5" t="s">
        <v>7</v>
      </c>
    </row>
    <row r="20" spans="2:6">
      <c r="B20" s="23">
        <v>16</v>
      </c>
      <c r="C20" s="18" t="s">
        <v>28</v>
      </c>
      <c r="D20" s="1" t="s">
        <v>24</v>
      </c>
      <c r="E20" s="31" t="str">
        <f t="shared" si="0"/>
        <v>Bridging_P0M_HT</v>
      </c>
      <c r="F20" s="5" t="s">
        <v>7</v>
      </c>
    </row>
    <row r="21" spans="2:6" ht="15.75" thickBot="1">
      <c r="B21" s="23">
        <v>17</v>
      </c>
      <c r="C21" s="18" t="s">
        <v>28</v>
      </c>
      <c r="D21" s="1" t="s">
        <v>25</v>
      </c>
      <c r="E21" s="31" t="str">
        <f t="shared" si="0"/>
        <v>Bridging_P0H_LT</v>
      </c>
      <c r="F21" s="7" t="s">
        <v>7</v>
      </c>
    </row>
    <row r="22" spans="2:6" ht="15.75" thickBot="1">
      <c r="B22" s="23">
        <v>18</v>
      </c>
      <c r="C22" s="19" t="s">
        <v>28</v>
      </c>
      <c r="D22" s="6" t="s">
        <v>26</v>
      </c>
      <c r="E22" s="31" t="str">
        <f t="shared" si="0"/>
        <v>Bridging_P0H_HT</v>
      </c>
      <c r="F22" s="4" t="s">
        <v>7</v>
      </c>
    </row>
    <row r="23" spans="2:6">
      <c r="B23" s="23">
        <v>19</v>
      </c>
      <c r="C23" s="17" t="s">
        <v>29</v>
      </c>
      <c r="D23" s="3" t="s">
        <v>16</v>
      </c>
      <c r="E23" s="31" t="str">
        <f t="shared" si="0"/>
        <v>CAD_P8</v>
      </c>
      <c r="F23" s="5" t="s">
        <v>7</v>
      </c>
    </row>
    <row r="24" spans="2:6">
      <c r="B24" s="23">
        <v>20</v>
      </c>
      <c r="C24" s="18" t="s">
        <v>29</v>
      </c>
      <c r="D24" s="1" t="s">
        <v>19</v>
      </c>
      <c r="E24" s="31" t="str">
        <f t="shared" si="0"/>
        <v>CAD_P0L</v>
      </c>
      <c r="F24" s="5" t="s">
        <v>7</v>
      </c>
    </row>
    <row r="25" spans="2:6">
      <c r="B25" s="23">
        <v>21</v>
      </c>
      <c r="C25" s="18" t="s">
        <v>29</v>
      </c>
      <c r="D25" s="1" t="s">
        <v>22</v>
      </c>
      <c r="E25" s="31" t="str">
        <f t="shared" si="0"/>
        <v>CAD_P0M_LT</v>
      </c>
      <c r="F25" s="5" t="s">
        <v>7</v>
      </c>
    </row>
    <row r="26" spans="2:6">
      <c r="B26" s="23">
        <v>22</v>
      </c>
      <c r="C26" s="18" t="s">
        <v>29</v>
      </c>
      <c r="D26" s="1" t="s">
        <v>24</v>
      </c>
      <c r="E26" s="31" t="str">
        <f t="shared" si="0"/>
        <v>CAD_P0M_HT</v>
      </c>
      <c r="F26" s="5" t="s">
        <v>7</v>
      </c>
    </row>
    <row r="27" spans="2:6" ht="15.75" thickBot="1">
      <c r="B27" s="23">
        <v>23</v>
      </c>
      <c r="C27" s="18" t="s">
        <v>29</v>
      </c>
      <c r="D27" s="1" t="s">
        <v>25</v>
      </c>
      <c r="E27" s="31" t="str">
        <f t="shared" si="0"/>
        <v>CAD_P0H_LT</v>
      </c>
      <c r="F27" s="7" t="s">
        <v>7</v>
      </c>
    </row>
    <row r="28" spans="2:6" ht="15.75" thickBot="1">
      <c r="B28" s="23">
        <v>24</v>
      </c>
      <c r="C28" s="19" t="s">
        <v>29</v>
      </c>
      <c r="D28" s="6" t="s">
        <v>26</v>
      </c>
      <c r="E28" s="31" t="str">
        <f t="shared" si="0"/>
        <v>CAD_P0H_HT</v>
      </c>
      <c r="F28" s="4" t="s">
        <v>7</v>
      </c>
    </row>
    <row r="29" spans="2:6">
      <c r="B29" s="23">
        <v>25</v>
      </c>
      <c r="C29" s="17" t="s">
        <v>30</v>
      </c>
      <c r="D29" s="3" t="s">
        <v>16</v>
      </c>
      <c r="E29" s="31" t="str">
        <f t="shared" si="0"/>
        <v>SDD_P8</v>
      </c>
      <c r="F29" s="5" t="s">
        <v>7</v>
      </c>
    </row>
    <row r="30" spans="2:6">
      <c r="B30" s="23">
        <v>26</v>
      </c>
      <c r="C30" s="18" t="s">
        <v>30</v>
      </c>
      <c r="D30" s="1" t="s">
        <v>19</v>
      </c>
      <c r="E30" s="31" t="str">
        <f t="shared" si="0"/>
        <v>SDD_P0L</v>
      </c>
      <c r="F30" s="5" t="s">
        <v>7</v>
      </c>
    </row>
    <row r="31" spans="2:6">
      <c r="B31" s="23">
        <v>27</v>
      </c>
      <c r="C31" s="18" t="s">
        <v>30</v>
      </c>
      <c r="D31" s="1" t="s">
        <v>22</v>
      </c>
      <c r="E31" s="31" t="str">
        <f t="shared" si="0"/>
        <v>SDD_P0M_LT</v>
      </c>
      <c r="F31" s="5" t="s">
        <v>7</v>
      </c>
    </row>
    <row r="32" spans="2:6">
      <c r="B32" s="23">
        <v>28</v>
      </c>
      <c r="C32" s="18" t="s">
        <v>30</v>
      </c>
      <c r="D32" s="1" t="s">
        <v>24</v>
      </c>
      <c r="E32" s="31" t="str">
        <f t="shared" si="0"/>
        <v>SDD_P0M_HT</v>
      </c>
      <c r="F32" s="5" t="s">
        <v>7</v>
      </c>
    </row>
    <row r="33" spans="2:6" ht="15.75" thickBot="1">
      <c r="B33" s="23">
        <v>29</v>
      </c>
      <c r="C33" s="18" t="s">
        <v>30</v>
      </c>
      <c r="D33" s="1" t="s">
        <v>25</v>
      </c>
      <c r="E33" s="31" t="str">
        <f t="shared" si="0"/>
        <v>SDD_P0H_LT</v>
      </c>
      <c r="F33" s="7" t="s">
        <v>7</v>
      </c>
    </row>
    <row r="34" spans="2:6" ht="15.75" thickBot="1">
      <c r="B34" s="23">
        <v>30</v>
      </c>
      <c r="C34" s="19" t="s">
        <v>30</v>
      </c>
      <c r="D34" s="6" t="s">
        <v>26</v>
      </c>
      <c r="E34" s="31" t="str">
        <f t="shared" si="0"/>
        <v>SDD_P0H_HT</v>
      </c>
      <c r="F34" s="4" t="s">
        <v>7</v>
      </c>
    </row>
    <row r="35" spans="2:6">
      <c r="B35" s="23">
        <v>31</v>
      </c>
      <c r="C35" s="18" t="s">
        <v>31</v>
      </c>
      <c r="D35" s="1" t="s">
        <v>6</v>
      </c>
      <c r="E35" s="31" t="str">
        <f t="shared" si="0"/>
        <v>Fseq_Stuckat_Vmin</v>
      </c>
      <c r="F35" s="5" t="s">
        <v>7</v>
      </c>
    </row>
    <row r="36" spans="2:6">
      <c r="B36" s="23">
        <v>32</v>
      </c>
      <c r="C36" s="18" t="s">
        <v>28</v>
      </c>
      <c r="D36" s="1" t="s">
        <v>6</v>
      </c>
      <c r="E36" s="31" t="str">
        <f t="shared" si="0"/>
        <v>Bridging_Stuckat_Vmin</v>
      </c>
      <c r="F36" s="5" t="s">
        <v>7</v>
      </c>
    </row>
    <row r="37" spans="2:6" ht="15.75" thickBot="1">
      <c r="B37" s="23">
        <v>33</v>
      </c>
      <c r="C37" s="19" t="s">
        <v>32</v>
      </c>
      <c r="D37" s="6" t="s">
        <v>6</v>
      </c>
      <c r="E37" s="31" t="str">
        <f t="shared" si="0"/>
        <v>CAS_Stuckat_Vmin</v>
      </c>
      <c r="F37" s="7" t="s">
        <v>7</v>
      </c>
    </row>
    <row r="38" spans="2:6">
      <c r="B38" s="23">
        <v>34</v>
      </c>
      <c r="C38" s="17" t="s">
        <v>33</v>
      </c>
      <c r="D38" s="3" t="s">
        <v>34</v>
      </c>
      <c r="E38" s="31" t="str">
        <f t="shared" si="0"/>
        <v>MBIST_P8_LVA</v>
      </c>
      <c r="F38" s="4" t="s">
        <v>7</v>
      </c>
    </row>
    <row r="39" spans="2:6">
      <c r="B39" s="23">
        <v>35</v>
      </c>
      <c r="C39" s="18" t="s">
        <v>33</v>
      </c>
      <c r="D39" s="1" t="s">
        <v>35</v>
      </c>
      <c r="E39" s="31" t="str">
        <f t="shared" si="0"/>
        <v>MBIST_P8_NA</v>
      </c>
      <c r="F39" s="5" t="s">
        <v>7</v>
      </c>
    </row>
    <row r="40" spans="2:6">
      <c r="B40" s="23">
        <v>36</v>
      </c>
      <c r="C40" s="18" t="s">
        <v>33</v>
      </c>
      <c r="D40" s="1" t="s">
        <v>36</v>
      </c>
      <c r="E40" s="31" t="str">
        <f t="shared" si="0"/>
        <v>MBIST_P8_HVA</v>
      </c>
      <c r="F40" s="5" t="s">
        <v>7</v>
      </c>
    </row>
    <row r="41" spans="2:6">
      <c r="B41" s="23">
        <v>37</v>
      </c>
      <c r="C41" s="18" t="s">
        <v>33</v>
      </c>
      <c r="D41" s="1" t="s">
        <v>19</v>
      </c>
      <c r="E41" s="31" t="str">
        <f t="shared" si="0"/>
        <v>MBIST_P0L</v>
      </c>
      <c r="F41" s="5" t="s">
        <v>7</v>
      </c>
    </row>
    <row r="42" spans="2:6">
      <c r="B42" s="23">
        <v>38</v>
      </c>
      <c r="C42" s="18" t="s">
        <v>33</v>
      </c>
      <c r="D42" s="1" t="s">
        <v>22</v>
      </c>
      <c r="E42" s="31" t="str">
        <f t="shared" si="0"/>
        <v>MBIST_P0M_LT</v>
      </c>
      <c r="F42" s="5" t="s">
        <v>7</v>
      </c>
    </row>
    <row r="43" spans="2:6">
      <c r="B43" s="23">
        <v>39</v>
      </c>
      <c r="C43" s="18" t="s">
        <v>33</v>
      </c>
      <c r="D43" s="1" t="s">
        <v>24</v>
      </c>
      <c r="E43" s="31" t="str">
        <f t="shared" si="0"/>
        <v>MBIST_P0M_HT</v>
      </c>
      <c r="F43" s="5" t="s">
        <v>7</v>
      </c>
    </row>
    <row r="44" spans="2:6">
      <c r="B44" s="23">
        <v>40</v>
      </c>
      <c r="C44" s="18" t="s">
        <v>33</v>
      </c>
      <c r="D44" s="1" t="s">
        <v>25</v>
      </c>
      <c r="E44" s="31" t="str">
        <f t="shared" si="0"/>
        <v>MBIST_P0H_LT</v>
      </c>
      <c r="F44" s="5" t="s">
        <v>7</v>
      </c>
    </row>
    <row r="45" spans="2:6" ht="15.75" thickBot="1">
      <c r="B45" s="23">
        <v>41</v>
      </c>
      <c r="C45" s="19" t="s">
        <v>33</v>
      </c>
      <c r="D45" s="6" t="s">
        <v>26</v>
      </c>
      <c r="E45" s="31" t="str">
        <f t="shared" si="0"/>
        <v>MBIST_P0H_HT</v>
      </c>
      <c r="F45" s="7" t="s">
        <v>7</v>
      </c>
    </row>
    <row r="46" spans="2:6">
      <c r="B46" s="23">
        <v>42</v>
      </c>
      <c r="C46" s="17" t="s">
        <v>33</v>
      </c>
      <c r="D46" s="3" t="s">
        <v>37</v>
      </c>
      <c r="E46" s="31" t="str">
        <f t="shared" si="0"/>
        <v>MBIST_Bypass_LVA_Vmin</v>
      </c>
      <c r="F46" s="4" t="s">
        <v>7</v>
      </c>
    </row>
    <row r="47" spans="2:6">
      <c r="B47" s="23">
        <v>43</v>
      </c>
      <c r="C47" s="18" t="s">
        <v>33</v>
      </c>
      <c r="D47" s="1" t="s">
        <v>38</v>
      </c>
      <c r="E47" s="31" t="str">
        <f t="shared" si="0"/>
        <v>MBIST_Bypass_NA_Vmin</v>
      </c>
      <c r="F47" s="5" t="s">
        <v>7</v>
      </c>
    </row>
    <row r="48" spans="2:6" ht="15.75" thickBot="1">
      <c r="B48" s="23">
        <v>44</v>
      </c>
      <c r="C48" s="19" t="s">
        <v>33</v>
      </c>
      <c r="D48" s="6" t="s">
        <v>39</v>
      </c>
      <c r="E48" s="31" t="str">
        <f t="shared" si="0"/>
        <v>MBIST_Bypass_HVA_Vmin</v>
      </c>
      <c r="F48" s="7" t="s">
        <v>7</v>
      </c>
    </row>
    <row r="49" spans="2:10">
      <c r="B49" s="23">
        <v>45</v>
      </c>
      <c r="C49" s="17" t="s">
        <v>33</v>
      </c>
      <c r="D49" s="3" t="s">
        <v>40</v>
      </c>
      <c r="E49" s="31" t="str">
        <f t="shared" si="0"/>
        <v>MBIST_Bypass_LVA_Vmax</v>
      </c>
      <c r="F49" s="4" t="s">
        <v>7</v>
      </c>
    </row>
    <row r="50" spans="2:10">
      <c r="B50" s="23">
        <v>46</v>
      </c>
      <c r="C50" s="18" t="s">
        <v>33</v>
      </c>
      <c r="D50" s="1" t="s">
        <v>41</v>
      </c>
      <c r="E50" s="31" t="str">
        <f t="shared" si="0"/>
        <v>MBIST_Bypass_NA_Vmax</v>
      </c>
      <c r="F50" s="5" t="s">
        <v>7</v>
      </c>
      <c r="I50" t="s">
        <v>42</v>
      </c>
      <c r="J50" t="s">
        <v>43</v>
      </c>
    </row>
    <row r="51" spans="2:10" ht="15.75" thickBot="1">
      <c r="B51" s="23">
        <v>47</v>
      </c>
      <c r="C51" s="19" t="s">
        <v>33</v>
      </c>
      <c r="D51" s="6" t="s">
        <v>44</v>
      </c>
      <c r="E51" s="31" t="str">
        <f t="shared" si="0"/>
        <v>MBIST_Bypass_HVA_Vmax</v>
      </c>
      <c r="F51" s="7" t="s">
        <v>7</v>
      </c>
    </row>
    <row r="52" spans="2:10">
      <c r="B52" s="23">
        <v>48</v>
      </c>
      <c r="C52" s="17" t="s">
        <v>33</v>
      </c>
      <c r="D52" s="3" t="s">
        <v>45</v>
      </c>
      <c r="E52" s="31" t="str">
        <f t="shared" si="0"/>
        <v>MBIST_P0H_LT_Vmax</v>
      </c>
      <c r="F52" s="4" t="s">
        <v>7</v>
      </c>
    </row>
    <row r="53" spans="2:10" ht="15.75" thickBot="1">
      <c r="B53" s="23">
        <v>49</v>
      </c>
      <c r="C53" s="20" t="s">
        <v>33</v>
      </c>
      <c r="D53" s="2" t="s">
        <v>46</v>
      </c>
      <c r="E53" s="31" t="str">
        <f t="shared" si="0"/>
        <v>MBIST_P0H_HT_Vmax</v>
      </c>
      <c r="F53" s="8" t="s">
        <v>7</v>
      </c>
    </row>
    <row r="54" spans="2:10">
      <c r="B54" s="23">
        <v>50</v>
      </c>
      <c r="C54" s="17" t="s">
        <v>47</v>
      </c>
      <c r="D54" s="3" t="s">
        <v>48</v>
      </c>
      <c r="E54" s="31" t="str">
        <f t="shared" si="0"/>
        <v>BaseFTM_Stuckat_Vmax</v>
      </c>
      <c r="F54" s="4" t="s">
        <v>7</v>
      </c>
    </row>
    <row r="55" spans="2:10">
      <c r="B55" s="23">
        <v>51</v>
      </c>
      <c r="C55" s="18" t="s">
        <v>47</v>
      </c>
      <c r="D55" s="1" t="s">
        <v>45</v>
      </c>
      <c r="E55" s="31" t="str">
        <f t="shared" si="0"/>
        <v>BaseFTM_P0H_LT_Vmax</v>
      </c>
      <c r="F55" s="5" t="s">
        <v>7</v>
      </c>
    </row>
    <row r="56" spans="2:10" ht="15.75" thickBot="1">
      <c r="B56" s="23">
        <v>52</v>
      </c>
      <c r="C56" s="20" t="s">
        <v>47</v>
      </c>
      <c r="D56" s="2" t="s">
        <v>46</v>
      </c>
      <c r="E56" s="31" t="str">
        <f t="shared" si="0"/>
        <v>BaseFTM_P0H_HT_Vmax</v>
      </c>
      <c r="F56" s="8" t="s">
        <v>7</v>
      </c>
    </row>
    <row r="57" spans="2:10">
      <c r="B57" s="23">
        <v>53</v>
      </c>
      <c r="C57" s="17" t="s">
        <v>49</v>
      </c>
      <c r="D57" s="3" t="s">
        <v>50</v>
      </c>
      <c r="E57" s="31" t="str">
        <f t="shared" si="0"/>
        <v>PMBIST_P0</v>
      </c>
      <c r="F57" s="4" t="s">
        <v>51</v>
      </c>
    </row>
    <row r="58" spans="2:10">
      <c r="B58" s="23">
        <v>54</v>
      </c>
      <c r="C58" s="18" t="s">
        <v>49</v>
      </c>
      <c r="D58" s="1" t="s">
        <v>52</v>
      </c>
      <c r="E58" s="31" t="str">
        <f t="shared" si="0"/>
        <v>PMBIST_P1</v>
      </c>
      <c r="F58" s="5" t="s">
        <v>51</v>
      </c>
    </row>
    <row r="59" spans="2:10">
      <c r="B59" s="23">
        <v>55</v>
      </c>
      <c r="C59" s="18" t="s">
        <v>49</v>
      </c>
      <c r="D59" s="1" t="s">
        <v>53</v>
      </c>
      <c r="E59" s="31" t="str">
        <f t="shared" si="0"/>
        <v>PMBIST_P2</v>
      </c>
      <c r="F59" s="5" t="s">
        <v>51</v>
      </c>
    </row>
    <row r="60" spans="2:10" ht="15.75" thickBot="1">
      <c r="B60" s="23">
        <v>56</v>
      </c>
      <c r="C60" s="19" t="s">
        <v>49</v>
      </c>
      <c r="D60" s="6" t="s">
        <v>54</v>
      </c>
      <c r="E60" s="31" t="str">
        <f t="shared" si="0"/>
        <v>PMBIST_P3</v>
      </c>
      <c r="F60" s="7" t="s">
        <v>51</v>
      </c>
    </row>
    <row r="61" spans="2:10">
      <c r="B61" s="23">
        <v>57</v>
      </c>
      <c r="C61" s="16" t="s">
        <v>55</v>
      </c>
      <c r="D61" s="11" t="s">
        <v>56</v>
      </c>
      <c r="E61" s="31" t="str">
        <f t="shared" si="0"/>
        <v>ShiftOnly_Stuckat</v>
      </c>
      <c r="F61" s="12" t="s">
        <v>7</v>
      </c>
    </row>
    <row r="62" spans="2:10">
      <c r="B62" s="23">
        <v>58</v>
      </c>
      <c r="C62" s="18" t="s">
        <v>57</v>
      </c>
      <c r="D62" s="1" t="s">
        <v>56</v>
      </c>
      <c r="E62" s="31" t="str">
        <f t="shared" si="0"/>
        <v>Extest_Stuckat</v>
      </c>
      <c r="F62" s="5" t="s">
        <v>7</v>
      </c>
    </row>
    <row r="63" spans="2:10">
      <c r="B63" s="23">
        <v>59</v>
      </c>
      <c r="C63" s="18" t="s">
        <v>58</v>
      </c>
      <c r="D63" s="1" t="s">
        <v>56</v>
      </c>
      <c r="E63" s="31" t="str">
        <f t="shared" si="0"/>
        <v>Exhaustive_Stuckat</v>
      </c>
      <c r="F63" s="5" t="s">
        <v>7</v>
      </c>
    </row>
    <row r="64" spans="2:10">
      <c r="B64" s="23">
        <v>60</v>
      </c>
      <c r="C64" s="18" t="s">
        <v>59</v>
      </c>
      <c r="D64" s="1" t="s">
        <v>56</v>
      </c>
      <c r="E64" s="31" t="str">
        <f t="shared" si="0"/>
        <v>FSTP_Stuckat</v>
      </c>
      <c r="F64" s="5" t="s">
        <v>7</v>
      </c>
    </row>
    <row r="65" spans="2:6" ht="15.75" thickBot="1">
      <c r="B65" s="23">
        <v>61</v>
      </c>
      <c r="C65" s="20" t="s">
        <v>60</v>
      </c>
      <c r="D65" s="2" t="s">
        <v>56</v>
      </c>
      <c r="E65" s="31" t="str">
        <f t="shared" si="0"/>
        <v>TPTP_Stuckat</v>
      </c>
      <c r="F65" s="8" t="s">
        <v>7</v>
      </c>
    </row>
    <row r="66" spans="2:6">
      <c r="B66" s="23">
        <v>62</v>
      </c>
      <c r="C66" s="17" t="s">
        <v>61</v>
      </c>
      <c r="D66" s="3" t="s">
        <v>16</v>
      </c>
      <c r="E66" s="31" t="str">
        <f t="shared" si="0"/>
        <v>CATA_P8</v>
      </c>
      <c r="F66" s="4" t="s">
        <v>7</v>
      </c>
    </row>
    <row r="67" spans="2:6">
      <c r="B67" s="23">
        <v>63</v>
      </c>
      <c r="C67" s="18" t="s">
        <v>61</v>
      </c>
      <c r="D67" s="1" t="s">
        <v>19</v>
      </c>
      <c r="E67" s="31" t="str">
        <f t="shared" si="0"/>
        <v>CATA_P0L</v>
      </c>
      <c r="F67" s="5" t="s">
        <v>7</v>
      </c>
    </row>
    <row r="68" spans="2:6">
      <c r="B68" s="23">
        <v>64</v>
      </c>
      <c r="C68" s="18" t="s">
        <v>61</v>
      </c>
      <c r="D68" s="1" t="s">
        <v>22</v>
      </c>
      <c r="E68" s="31" t="str">
        <f t="shared" si="0"/>
        <v>CATA_P0M_LT</v>
      </c>
      <c r="F68" s="5" t="s">
        <v>7</v>
      </c>
    </row>
    <row r="69" spans="2:6">
      <c r="B69" s="23">
        <v>65</v>
      </c>
      <c r="C69" s="18" t="s">
        <v>61</v>
      </c>
      <c r="D69" s="1" t="s">
        <v>24</v>
      </c>
      <c r="E69" s="31" t="str">
        <f t="shared" ref="E69:E83" si="2">CONCATENATE(C69,"_",D69)</f>
        <v>CATA_P0M_HT</v>
      </c>
      <c r="F69" s="5" t="s">
        <v>7</v>
      </c>
    </row>
    <row r="70" spans="2:6">
      <c r="B70" s="23">
        <v>66</v>
      </c>
      <c r="C70" s="18" t="s">
        <v>61</v>
      </c>
      <c r="D70" s="1" t="s">
        <v>25</v>
      </c>
      <c r="E70" s="31" t="str">
        <f t="shared" si="2"/>
        <v>CATA_P0H_LT</v>
      </c>
      <c r="F70" s="5" t="s">
        <v>7</v>
      </c>
    </row>
    <row r="71" spans="2:6" ht="15.75" thickBot="1">
      <c r="B71" s="23">
        <v>67</v>
      </c>
      <c r="C71" s="20" t="s">
        <v>61</v>
      </c>
      <c r="D71" s="2" t="s">
        <v>26</v>
      </c>
      <c r="E71" s="31" t="str">
        <f t="shared" si="2"/>
        <v>CATA_P0H_HT</v>
      </c>
      <c r="F71" s="8" t="s">
        <v>7</v>
      </c>
    </row>
    <row r="72" spans="2:6">
      <c r="B72" s="23">
        <v>68</v>
      </c>
      <c r="C72" s="17" t="s">
        <v>62</v>
      </c>
      <c r="D72" s="3" t="s">
        <v>63</v>
      </c>
      <c r="E72" s="31" t="s">
        <v>64</v>
      </c>
      <c r="F72" s="4" t="s">
        <v>7</v>
      </c>
    </row>
    <row r="73" spans="2:6">
      <c r="B73" s="23">
        <v>69</v>
      </c>
      <c r="C73" s="18" t="s">
        <v>65</v>
      </c>
      <c r="D73" s="1" t="s">
        <v>37</v>
      </c>
      <c r="E73" s="31" t="str">
        <f t="shared" si="2"/>
        <v>LWBIST_Bypass_LVA_Vmin</v>
      </c>
      <c r="F73" s="5" t="s">
        <v>7</v>
      </c>
    </row>
    <row r="74" spans="2:6">
      <c r="B74" s="23">
        <v>70</v>
      </c>
      <c r="C74" s="18" t="s">
        <v>66</v>
      </c>
      <c r="D74" s="1" t="s">
        <v>37</v>
      </c>
      <c r="E74" s="31" t="str">
        <f t="shared" si="2"/>
        <v>MVRAM_Bypass_LVA_Vmin</v>
      </c>
      <c r="F74" s="5" t="s">
        <v>67</v>
      </c>
    </row>
    <row r="75" spans="2:6">
      <c r="B75" s="23">
        <v>71</v>
      </c>
      <c r="C75" s="18" t="s">
        <v>66</v>
      </c>
      <c r="D75" s="1" t="s">
        <v>16</v>
      </c>
      <c r="E75" s="31" t="str">
        <f t="shared" si="2"/>
        <v>MVRAM_P8</v>
      </c>
      <c r="F75" s="5" t="s">
        <v>67</v>
      </c>
    </row>
    <row r="76" spans="2:6">
      <c r="B76" s="23">
        <v>72</v>
      </c>
      <c r="C76" s="18" t="s">
        <v>66</v>
      </c>
      <c r="D76" s="1" t="s">
        <v>19</v>
      </c>
      <c r="E76" s="31" t="str">
        <f t="shared" si="2"/>
        <v>MVRAM_P0L</v>
      </c>
      <c r="F76" s="5" t="s">
        <v>67</v>
      </c>
    </row>
    <row r="77" spans="2:6">
      <c r="B77" s="23">
        <v>73</v>
      </c>
      <c r="C77" s="18" t="s">
        <v>66</v>
      </c>
      <c r="D77" s="1" t="s">
        <v>22</v>
      </c>
      <c r="E77" s="31" t="str">
        <f t="shared" si="2"/>
        <v>MVRAM_P0M_LT</v>
      </c>
      <c r="F77" s="5" t="s">
        <v>67</v>
      </c>
    </row>
    <row r="78" spans="2:6">
      <c r="B78" s="23">
        <v>74</v>
      </c>
      <c r="C78" s="18" t="s">
        <v>66</v>
      </c>
      <c r="D78" s="1" t="s">
        <v>24</v>
      </c>
      <c r="E78" s="31" t="str">
        <f t="shared" si="2"/>
        <v>MVRAM_P0M_HT</v>
      </c>
      <c r="F78" s="5" t="s">
        <v>67</v>
      </c>
    </row>
    <row r="79" spans="2:6">
      <c r="B79" s="23">
        <v>75</v>
      </c>
      <c r="C79" s="18" t="s">
        <v>66</v>
      </c>
      <c r="D79" s="1" t="s">
        <v>25</v>
      </c>
      <c r="E79" s="31" t="str">
        <f t="shared" si="2"/>
        <v>MVRAM_P0H_LT</v>
      </c>
      <c r="F79" s="5" t="s">
        <v>67</v>
      </c>
    </row>
    <row r="80" spans="2:6">
      <c r="B80" s="23">
        <v>76</v>
      </c>
      <c r="C80" s="18" t="s">
        <v>66</v>
      </c>
      <c r="D80" s="1" t="s">
        <v>26</v>
      </c>
      <c r="E80" s="31" t="str">
        <f t="shared" si="2"/>
        <v>MVRAM_P0H_HT</v>
      </c>
      <c r="F80" s="5" t="s">
        <v>67</v>
      </c>
    </row>
    <row r="81" spans="2:6">
      <c r="B81" s="23">
        <v>77</v>
      </c>
      <c r="C81" s="18" t="s">
        <v>68</v>
      </c>
      <c r="D81" s="1" t="s">
        <v>37</v>
      </c>
      <c r="E81" s="31" t="str">
        <f t="shared" si="2"/>
        <v>HammerRead_Bypass_LVA_Vmin</v>
      </c>
      <c r="F81" s="5" t="s">
        <v>7</v>
      </c>
    </row>
    <row r="82" spans="2:6">
      <c r="B82" s="23">
        <v>78</v>
      </c>
      <c r="C82" s="18" t="s">
        <v>69</v>
      </c>
      <c r="D82" s="1" t="s">
        <v>37</v>
      </c>
      <c r="E82" s="31" t="str">
        <f t="shared" si="2"/>
        <v>ROMBIST_Bypass_LVA_Vmin</v>
      </c>
      <c r="F82" s="5" t="s">
        <v>7</v>
      </c>
    </row>
    <row r="83" spans="2:6" ht="15.75" thickBot="1">
      <c r="B83" s="24">
        <v>79</v>
      </c>
      <c r="C83" s="19" t="s">
        <v>70</v>
      </c>
      <c r="D83" s="6" t="s">
        <v>37</v>
      </c>
      <c r="E83" s="31" t="str">
        <f t="shared" si="2"/>
        <v>TCAM_Bypass_LVA_Vmin</v>
      </c>
      <c r="F83" s="7" t="s">
        <v>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20A7-62CA-4201-850D-CF159CCE77A5}">
  <dimension ref="C1:U127"/>
  <sheetViews>
    <sheetView zoomScale="80" zoomScaleNormal="80" workbookViewId="0">
      <selection activeCell="H49" sqref="H3:H49"/>
    </sheetView>
  </sheetViews>
  <sheetFormatPr defaultRowHeight="15"/>
  <cols>
    <col min="2" max="2" width="8.28515625" customWidth="1"/>
    <col min="3" max="3" width="11.5703125" hidden="1" customWidth="1"/>
    <col min="4" max="4" width="13.5703125" hidden="1" customWidth="1"/>
    <col min="5" max="5" width="16.28515625" hidden="1" customWidth="1"/>
    <col min="8" max="8" width="11.85546875" bestFit="1" customWidth="1"/>
    <col min="9" max="9" width="11.5703125" customWidth="1"/>
    <col min="10" max="10" width="20" bestFit="1" customWidth="1"/>
    <col min="11" max="11" width="34.5703125" bestFit="1" customWidth="1"/>
    <col min="12" max="12" width="34.5703125" hidden="1" customWidth="1"/>
    <col min="17" max="17" width="8.28515625" bestFit="1" customWidth="1"/>
    <col min="18" max="18" width="42.7109375" bestFit="1" customWidth="1"/>
    <col min="20" max="20" width="10.5703125" bestFit="1" customWidth="1"/>
    <col min="21" max="21" width="22.5703125" bestFit="1" customWidth="1"/>
  </cols>
  <sheetData>
    <row r="1" spans="3:21">
      <c r="H1" t="s">
        <v>71</v>
      </c>
    </row>
    <row r="2" spans="3:21" ht="15.75" thickBot="1">
      <c r="C2" s="1" t="s">
        <v>0</v>
      </c>
      <c r="D2" s="1" t="s">
        <v>1</v>
      </c>
      <c r="E2" s="1" t="s">
        <v>2</v>
      </c>
      <c r="H2" s="14" t="s">
        <v>72</v>
      </c>
      <c r="I2" s="14" t="s">
        <v>0</v>
      </c>
      <c r="J2" s="14" t="s">
        <v>73</v>
      </c>
      <c r="K2" s="14" t="s">
        <v>74</v>
      </c>
      <c r="L2" s="43"/>
      <c r="Q2" s="14" t="s">
        <v>75</v>
      </c>
      <c r="R2" s="14" t="s">
        <v>76</v>
      </c>
      <c r="T2" s="14" t="s">
        <v>77</v>
      </c>
      <c r="U2" s="14" t="s">
        <v>78</v>
      </c>
    </row>
    <row r="3" spans="3:21" ht="16.5" thickBot="1">
      <c r="C3" s="1">
        <v>0</v>
      </c>
      <c r="D3" s="3" t="s">
        <v>47</v>
      </c>
      <c r="E3" s="3" t="s">
        <v>6</v>
      </c>
      <c r="H3" s="1">
        <v>0</v>
      </c>
      <c r="I3" s="1">
        <v>1</v>
      </c>
      <c r="J3" s="1">
        <v>0</v>
      </c>
      <c r="K3" s="1" t="str">
        <f>CONCATENATE(VLOOKUP(I3,$Q$3:$R$67,2,FALSE),"_",VLOOKUP(J3,$T$3:$U$34,2,FALSE))</f>
        <v>SA_BASE_STUCKAT</v>
      </c>
      <c r="Q3" s="25">
        <v>0</v>
      </c>
      <c r="R3" s="26" t="s">
        <v>79</v>
      </c>
      <c r="T3" s="1">
        <v>0</v>
      </c>
      <c r="U3" s="29" t="s">
        <v>80</v>
      </c>
    </row>
    <row r="4" spans="3:21" ht="15.75">
      <c r="C4" s="1">
        <v>1</v>
      </c>
      <c r="D4" s="3" t="s">
        <v>15</v>
      </c>
      <c r="E4" s="3" t="s">
        <v>16</v>
      </c>
      <c r="H4" s="1">
        <v>1</v>
      </c>
      <c r="I4" s="1">
        <v>1</v>
      </c>
      <c r="J4" s="1">
        <v>1</v>
      </c>
      <c r="K4" s="1" t="str">
        <f t="shared" ref="K4:K67" si="0">CONCATENATE(VLOOKUP(I4,$Q$3:$R$67,2,FALSE),"_",VLOOKUP(J4,$T$3:$U$34,2,FALSE))</f>
        <v>SA_BASE_STUCKAT_Vmax</v>
      </c>
      <c r="Q4" s="25">
        <f>Q3+1</f>
        <v>1</v>
      </c>
      <c r="R4" s="26" t="s">
        <v>81</v>
      </c>
      <c r="T4" s="1">
        <f>T3+1</f>
        <v>1</v>
      </c>
      <c r="U4" s="29" t="s">
        <v>82</v>
      </c>
    </row>
    <row r="5" spans="3:21" ht="15.75">
      <c r="C5" s="1">
        <v>2</v>
      </c>
      <c r="D5" s="1" t="s">
        <v>15</v>
      </c>
      <c r="E5" s="1" t="s">
        <v>19</v>
      </c>
      <c r="H5" s="1">
        <v>2</v>
      </c>
      <c r="I5" s="1">
        <v>22</v>
      </c>
      <c r="J5" s="1">
        <v>0</v>
      </c>
      <c r="K5" s="1" t="str">
        <f>CONCATENATE(VLOOKUP(I5,$Q$3:$R$67,2,FALSE),"_",VLOOKUP(J5,$T$3:$U$34,2,FALSE))</f>
        <v>CAS_STUCKAT</v>
      </c>
      <c r="Q5" s="25">
        <f t="shared" ref="Q5:Q67" si="1">Q4+1</f>
        <v>2</v>
      </c>
      <c r="R5" s="26" t="s">
        <v>83</v>
      </c>
      <c r="T5" s="1">
        <f t="shared" ref="T5:T14" si="2">T4+1</f>
        <v>2</v>
      </c>
      <c r="U5" s="29" t="s">
        <v>84</v>
      </c>
    </row>
    <row r="6" spans="3:21" ht="15.75">
      <c r="C6" s="1">
        <v>3</v>
      </c>
      <c r="D6" s="1" t="s">
        <v>15</v>
      </c>
      <c r="E6" s="1" t="s">
        <v>22</v>
      </c>
      <c r="H6" s="1">
        <v>3</v>
      </c>
      <c r="I6" s="1">
        <v>2</v>
      </c>
      <c r="J6" s="1">
        <v>0</v>
      </c>
      <c r="K6" s="1" t="str">
        <f t="shared" si="0"/>
        <v>SA_FS_STUCKAT</v>
      </c>
      <c r="Q6" s="25">
        <f t="shared" si="1"/>
        <v>3</v>
      </c>
      <c r="R6" s="26" t="s">
        <v>85</v>
      </c>
      <c r="T6" s="1">
        <f t="shared" si="2"/>
        <v>3</v>
      </c>
      <c r="U6" s="28" t="s">
        <v>16</v>
      </c>
    </row>
    <row r="7" spans="3:21" ht="15.75">
      <c r="C7" s="1">
        <v>4</v>
      </c>
      <c r="D7" s="1" t="s">
        <v>15</v>
      </c>
      <c r="E7" s="1" t="s">
        <v>24</v>
      </c>
      <c r="H7" s="1">
        <v>4</v>
      </c>
      <c r="I7" s="1">
        <v>4</v>
      </c>
      <c r="J7" s="1">
        <v>0</v>
      </c>
      <c r="K7" s="1" t="str">
        <f t="shared" si="0"/>
        <v>SA_BR_STUCKAT</v>
      </c>
      <c r="Q7" s="25">
        <f t="shared" si="1"/>
        <v>4</v>
      </c>
      <c r="R7" s="26" t="s">
        <v>86</v>
      </c>
      <c r="T7" s="1">
        <f t="shared" si="2"/>
        <v>4</v>
      </c>
      <c r="U7" s="29" t="s">
        <v>19</v>
      </c>
    </row>
    <row r="8" spans="3:21" ht="15.75">
      <c r="C8" s="1">
        <v>5</v>
      </c>
      <c r="D8" s="1" t="s">
        <v>15</v>
      </c>
      <c r="E8" s="1" t="s">
        <v>25</v>
      </c>
      <c r="H8" s="1">
        <v>5</v>
      </c>
      <c r="I8" s="1">
        <v>14</v>
      </c>
      <c r="J8" s="1">
        <v>3</v>
      </c>
      <c r="K8" s="1" t="str">
        <f t="shared" ref="K8:K19" si="3">CONCATENATE(VLOOKUP(I8,$Q$3:$R$67,2,FALSE),"_",VLOOKUP(J8,$T$3:$U$34,2,FALSE))</f>
        <v>FTM_PLL_P8</v>
      </c>
      <c r="Q8" s="25">
        <f t="shared" si="1"/>
        <v>5</v>
      </c>
      <c r="R8" s="26" t="s">
        <v>87</v>
      </c>
      <c r="T8" s="1">
        <f t="shared" si="2"/>
        <v>5</v>
      </c>
      <c r="U8" s="29" t="s">
        <v>22</v>
      </c>
    </row>
    <row r="9" spans="3:21" ht="16.5" thickBot="1">
      <c r="C9" s="1">
        <v>6</v>
      </c>
      <c r="D9" s="6" t="s">
        <v>15</v>
      </c>
      <c r="E9" s="6" t="s">
        <v>26</v>
      </c>
      <c r="H9" s="1">
        <v>6</v>
      </c>
      <c r="I9" s="1">
        <v>14</v>
      </c>
      <c r="J9" s="1">
        <v>4</v>
      </c>
      <c r="K9" s="1" t="str">
        <f t="shared" si="3"/>
        <v>FTM_PLL_P0L</v>
      </c>
      <c r="Q9" s="25">
        <f t="shared" si="1"/>
        <v>6</v>
      </c>
      <c r="R9" s="26" t="s">
        <v>88</v>
      </c>
      <c r="T9" s="1">
        <f t="shared" si="2"/>
        <v>6</v>
      </c>
      <c r="U9" s="28" t="s">
        <v>24</v>
      </c>
    </row>
    <row r="10" spans="3:21" ht="15.75">
      <c r="C10" s="1">
        <v>7</v>
      </c>
      <c r="D10" s="3" t="s">
        <v>27</v>
      </c>
      <c r="E10" s="3" t="s">
        <v>16</v>
      </c>
      <c r="H10" s="1">
        <v>7</v>
      </c>
      <c r="I10" s="1">
        <v>14</v>
      </c>
      <c r="J10" s="1">
        <v>5</v>
      </c>
      <c r="K10" s="1" t="str">
        <f t="shared" si="3"/>
        <v>FTM_PLL_P0M_LT</v>
      </c>
      <c r="Q10" s="25">
        <f t="shared" si="1"/>
        <v>7</v>
      </c>
      <c r="R10" s="26" t="s">
        <v>89</v>
      </c>
      <c r="T10" s="1">
        <f t="shared" si="2"/>
        <v>7</v>
      </c>
      <c r="U10" s="28" t="s">
        <v>25</v>
      </c>
    </row>
    <row r="11" spans="3:21" ht="15.75">
      <c r="C11" s="1">
        <v>8</v>
      </c>
      <c r="D11" s="1" t="s">
        <v>27</v>
      </c>
      <c r="E11" s="1" t="s">
        <v>19</v>
      </c>
      <c r="H11" s="1">
        <v>8</v>
      </c>
      <c r="I11" s="1">
        <v>14</v>
      </c>
      <c r="J11" s="1">
        <v>6</v>
      </c>
      <c r="K11" s="1" t="str">
        <f t="shared" si="3"/>
        <v>FTM_PLL_P0M_HT</v>
      </c>
      <c r="Q11" s="25">
        <f t="shared" si="1"/>
        <v>8</v>
      </c>
      <c r="R11" s="26" t="s">
        <v>90</v>
      </c>
      <c r="T11" s="1">
        <f t="shared" si="2"/>
        <v>8</v>
      </c>
      <c r="U11" s="28" t="s">
        <v>26</v>
      </c>
    </row>
    <row r="12" spans="3:21" ht="15.75">
      <c r="C12" s="1">
        <v>9</v>
      </c>
      <c r="D12" s="1" t="s">
        <v>27</v>
      </c>
      <c r="E12" s="1" t="s">
        <v>22</v>
      </c>
      <c r="H12" s="1">
        <v>9</v>
      </c>
      <c r="I12" s="1">
        <v>14</v>
      </c>
      <c r="J12" s="1">
        <v>7</v>
      </c>
      <c r="K12" s="1" t="str">
        <f t="shared" si="3"/>
        <v>FTM_PLL_P0H_LT</v>
      </c>
      <c r="Q12" s="25">
        <f t="shared" si="1"/>
        <v>9</v>
      </c>
      <c r="R12" s="26" t="s">
        <v>91</v>
      </c>
      <c r="T12" s="1">
        <f t="shared" si="2"/>
        <v>9</v>
      </c>
      <c r="U12" s="28" t="s">
        <v>45</v>
      </c>
    </row>
    <row r="13" spans="3:21" ht="15.75">
      <c r="C13" s="1">
        <v>10</v>
      </c>
      <c r="D13" s="1" t="s">
        <v>27</v>
      </c>
      <c r="E13" s="1" t="s">
        <v>24</v>
      </c>
      <c r="H13" s="1">
        <v>10</v>
      </c>
      <c r="I13" s="1">
        <v>14</v>
      </c>
      <c r="J13" s="1">
        <v>8</v>
      </c>
      <c r="K13" s="1" t="str">
        <f t="shared" si="3"/>
        <v>FTM_PLL_P0H_HT</v>
      </c>
      <c r="Q13" s="25">
        <f t="shared" si="1"/>
        <v>10</v>
      </c>
      <c r="R13" s="26" t="s">
        <v>92</v>
      </c>
      <c r="T13" s="1">
        <f t="shared" si="2"/>
        <v>10</v>
      </c>
      <c r="U13" s="28" t="s">
        <v>46</v>
      </c>
    </row>
    <row r="14" spans="3:21" ht="15.75">
      <c r="C14" s="1">
        <v>11</v>
      </c>
      <c r="D14" s="1" t="s">
        <v>27</v>
      </c>
      <c r="E14" s="1" t="s">
        <v>25</v>
      </c>
      <c r="H14" s="1">
        <v>11</v>
      </c>
      <c r="I14" s="1">
        <v>15</v>
      </c>
      <c r="J14" s="1">
        <v>3</v>
      </c>
      <c r="K14" s="1" t="str">
        <f t="shared" si="3"/>
        <v>FTM_ALLSEQ_PLL_P8</v>
      </c>
      <c r="Q14" s="25">
        <f t="shared" si="1"/>
        <v>11</v>
      </c>
      <c r="R14" s="26" t="s">
        <v>93</v>
      </c>
      <c r="T14" s="1">
        <f t="shared" si="2"/>
        <v>11</v>
      </c>
      <c r="U14" s="29" t="s">
        <v>94</v>
      </c>
    </row>
    <row r="15" spans="3:21" ht="16.5" thickBot="1">
      <c r="C15" s="1">
        <v>12</v>
      </c>
      <c r="D15" s="2" t="s">
        <v>27</v>
      </c>
      <c r="E15" s="2" t="s">
        <v>26</v>
      </c>
      <c r="H15" s="1">
        <v>12</v>
      </c>
      <c r="I15" s="1">
        <v>15</v>
      </c>
      <c r="J15" s="1">
        <v>4</v>
      </c>
      <c r="K15" s="1" t="str">
        <f t="shared" si="3"/>
        <v>FTM_ALLSEQ_PLL_P0L</v>
      </c>
      <c r="Q15" s="25">
        <f t="shared" si="1"/>
        <v>12</v>
      </c>
      <c r="R15" s="26" t="s">
        <v>95</v>
      </c>
      <c r="T15" s="1">
        <f>T14+1</f>
        <v>12</v>
      </c>
      <c r="U15" s="29" t="s">
        <v>96</v>
      </c>
    </row>
    <row r="16" spans="3:21" ht="15.75">
      <c r="C16" s="1">
        <v>13</v>
      </c>
      <c r="D16" s="3" t="s">
        <v>28</v>
      </c>
      <c r="E16" s="3" t="s">
        <v>16</v>
      </c>
      <c r="H16" s="1">
        <v>13</v>
      </c>
      <c r="I16" s="1">
        <v>15</v>
      </c>
      <c r="J16" s="1">
        <v>5</v>
      </c>
      <c r="K16" s="1" t="str">
        <f t="shared" si="3"/>
        <v>FTM_ALLSEQ_PLL_P0M_LT</v>
      </c>
      <c r="Q16" s="25">
        <f t="shared" si="1"/>
        <v>13</v>
      </c>
      <c r="R16" s="26" t="s">
        <v>97</v>
      </c>
      <c r="T16" s="1">
        <f>T15+1</f>
        <v>13</v>
      </c>
      <c r="U16" s="29" t="s">
        <v>98</v>
      </c>
    </row>
    <row r="17" spans="3:21" ht="15.75">
      <c r="C17" s="1">
        <v>14</v>
      </c>
      <c r="D17" s="1" t="s">
        <v>28</v>
      </c>
      <c r="E17" s="1" t="s">
        <v>19</v>
      </c>
      <c r="H17" s="1">
        <v>14</v>
      </c>
      <c r="I17" s="1">
        <v>15</v>
      </c>
      <c r="J17" s="1">
        <v>6</v>
      </c>
      <c r="K17" s="1" t="str">
        <f t="shared" si="3"/>
        <v>FTM_ALLSEQ_PLL_P0M_HT</v>
      </c>
      <c r="Q17" s="25">
        <f t="shared" si="1"/>
        <v>14</v>
      </c>
      <c r="R17" s="26" t="s">
        <v>99</v>
      </c>
      <c r="T17" s="1">
        <f t="shared" ref="T17:T24" si="4">T16+1</f>
        <v>14</v>
      </c>
      <c r="U17" s="28" t="s">
        <v>100</v>
      </c>
    </row>
    <row r="18" spans="3:21" ht="15.75">
      <c r="C18" s="1">
        <v>15</v>
      </c>
      <c r="D18" s="1" t="s">
        <v>28</v>
      </c>
      <c r="E18" s="1" t="s">
        <v>22</v>
      </c>
      <c r="H18" s="1">
        <v>15</v>
      </c>
      <c r="I18" s="1">
        <v>15</v>
      </c>
      <c r="J18" s="1">
        <v>7</v>
      </c>
      <c r="K18" s="1" t="str">
        <f t="shared" si="3"/>
        <v>FTM_ALLSEQ_PLL_P0H_LT</v>
      </c>
      <c r="Q18" s="25">
        <f t="shared" si="1"/>
        <v>15</v>
      </c>
      <c r="R18" s="26" t="s">
        <v>101</v>
      </c>
      <c r="T18" s="1">
        <f t="shared" si="4"/>
        <v>15</v>
      </c>
      <c r="U18" s="29" t="s">
        <v>102</v>
      </c>
    </row>
    <row r="19" spans="3:21" ht="15.75">
      <c r="C19" s="1">
        <v>16</v>
      </c>
      <c r="D19" s="1" t="s">
        <v>28</v>
      </c>
      <c r="E19" s="1" t="s">
        <v>24</v>
      </c>
      <c r="H19" s="1">
        <v>16</v>
      </c>
      <c r="I19" s="1">
        <v>15</v>
      </c>
      <c r="J19" s="1">
        <v>8</v>
      </c>
      <c r="K19" s="1" t="str">
        <f t="shared" si="3"/>
        <v>FTM_ALLSEQ_PLL_P0H_HT</v>
      </c>
      <c r="Q19" s="25">
        <f t="shared" si="1"/>
        <v>16</v>
      </c>
      <c r="R19" s="26" t="s">
        <v>103</v>
      </c>
      <c r="T19" s="1">
        <f t="shared" si="4"/>
        <v>16</v>
      </c>
      <c r="U19" s="29" t="s">
        <v>104</v>
      </c>
    </row>
    <row r="20" spans="3:21" ht="15.75">
      <c r="C20" s="1">
        <v>17</v>
      </c>
      <c r="D20" s="1" t="s">
        <v>28</v>
      </c>
      <c r="E20" s="1" t="s">
        <v>25</v>
      </c>
      <c r="H20" s="1">
        <v>17</v>
      </c>
      <c r="I20" s="1">
        <v>21</v>
      </c>
      <c r="J20" s="1">
        <v>3</v>
      </c>
      <c r="K20" s="1" t="str">
        <f t="shared" si="0"/>
        <v>CAD_PLL_P8</v>
      </c>
      <c r="Q20" s="25">
        <f t="shared" si="1"/>
        <v>17</v>
      </c>
      <c r="R20" s="26" t="s">
        <v>105</v>
      </c>
      <c r="T20" s="1">
        <f t="shared" si="4"/>
        <v>17</v>
      </c>
      <c r="U20" s="28" t="s">
        <v>106</v>
      </c>
    </row>
    <row r="21" spans="3:21" ht="16.5" thickBot="1">
      <c r="C21" s="1">
        <v>18</v>
      </c>
      <c r="D21" s="6" t="s">
        <v>28</v>
      </c>
      <c r="E21" s="6" t="s">
        <v>26</v>
      </c>
      <c r="H21" s="1">
        <v>18</v>
      </c>
      <c r="I21" s="1">
        <v>21</v>
      </c>
      <c r="J21" s="1">
        <v>4</v>
      </c>
      <c r="K21" s="1" t="str">
        <f t="shared" si="0"/>
        <v>CAD_PLL_P0L</v>
      </c>
      <c r="Q21" s="25">
        <f t="shared" si="1"/>
        <v>18</v>
      </c>
      <c r="R21" s="26" t="s">
        <v>107</v>
      </c>
      <c r="T21" s="1">
        <f t="shared" si="4"/>
        <v>18</v>
      </c>
      <c r="U21" s="28" t="s">
        <v>108</v>
      </c>
    </row>
    <row r="22" spans="3:21" ht="21.4" customHeight="1">
      <c r="C22" s="1">
        <v>19</v>
      </c>
      <c r="D22" s="3" t="s">
        <v>29</v>
      </c>
      <c r="E22" s="3" t="s">
        <v>16</v>
      </c>
      <c r="H22" s="1">
        <v>19</v>
      </c>
      <c r="I22" s="1">
        <v>21</v>
      </c>
      <c r="J22" s="1">
        <v>5</v>
      </c>
      <c r="K22" s="1" t="str">
        <f t="shared" si="0"/>
        <v>CAD_PLL_P0M_LT</v>
      </c>
      <c r="Q22" s="25">
        <f t="shared" si="1"/>
        <v>19</v>
      </c>
      <c r="R22" s="26" t="s">
        <v>109</v>
      </c>
      <c r="T22" s="1">
        <f t="shared" si="4"/>
        <v>19</v>
      </c>
      <c r="U22" s="28" t="s">
        <v>110</v>
      </c>
    </row>
    <row r="23" spans="3:21" ht="19.5" customHeight="1">
      <c r="C23" s="1">
        <v>20</v>
      </c>
      <c r="D23" s="1" t="s">
        <v>29</v>
      </c>
      <c r="E23" s="1" t="s">
        <v>19</v>
      </c>
      <c r="H23" s="1">
        <v>20</v>
      </c>
      <c r="I23" s="1">
        <v>21</v>
      </c>
      <c r="J23" s="1">
        <v>6</v>
      </c>
      <c r="K23" s="1" t="str">
        <f t="shared" si="0"/>
        <v>CAD_PLL_P0M_HT</v>
      </c>
      <c r="Q23" s="25">
        <f t="shared" si="1"/>
        <v>20</v>
      </c>
      <c r="R23" s="26" t="s">
        <v>111</v>
      </c>
      <c r="T23" s="1">
        <f t="shared" si="4"/>
        <v>20</v>
      </c>
      <c r="U23" s="28" t="s">
        <v>112</v>
      </c>
    </row>
    <row r="24" spans="3:21" ht="15.75">
      <c r="C24" s="1">
        <v>21</v>
      </c>
      <c r="D24" s="1" t="s">
        <v>29</v>
      </c>
      <c r="E24" s="1" t="s">
        <v>22</v>
      </c>
      <c r="H24" s="1">
        <v>21</v>
      </c>
      <c r="I24" s="1">
        <v>21</v>
      </c>
      <c r="J24" s="1">
        <v>7</v>
      </c>
      <c r="K24" s="1" t="str">
        <f t="shared" si="0"/>
        <v>CAD_PLL_P0H_LT</v>
      </c>
      <c r="Q24" s="25">
        <f t="shared" si="1"/>
        <v>21</v>
      </c>
      <c r="R24" s="26" t="s">
        <v>113</v>
      </c>
      <c r="T24" s="1">
        <f t="shared" si="4"/>
        <v>21</v>
      </c>
      <c r="U24" s="28" t="s">
        <v>114</v>
      </c>
    </row>
    <row r="25" spans="3:21" ht="15.75">
      <c r="C25" s="1">
        <v>22</v>
      </c>
      <c r="D25" s="1" t="s">
        <v>29</v>
      </c>
      <c r="E25" s="1" t="s">
        <v>24</v>
      </c>
      <c r="H25" s="1">
        <v>22</v>
      </c>
      <c r="I25" s="1">
        <v>21</v>
      </c>
      <c r="J25" s="1">
        <v>8</v>
      </c>
      <c r="K25" s="1" t="str">
        <f t="shared" si="0"/>
        <v>CAD_PLL_P0H_HT</v>
      </c>
      <c r="Q25" s="25">
        <f t="shared" si="1"/>
        <v>22</v>
      </c>
      <c r="R25" s="26" t="s">
        <v>32</v>
      </c>
      <c r="T25" s="1"/>
      <c r="U25" s="1"/>
    </row>
    <row r="26" spans="3:21" ht="15.75">
      <c r="C26" s="1">
        <v>23</v>
      </c>
      <c r="D26" s="1" t="s">
        <v>29</v>
      </c>
      <c r="E26" s="1" t="s">
        <v>25</v>
      </c>
      <c r="H26" s="1">
        <v>23</v>
      </c>
      <c r="I26" s="1">
        <v>26</v>
      </c>
      <c r="J26" s="1">
        <v>3</v>
      </c>
      <c r="K26" s="1" t="str">
        <f t="shared" si="0"/>
        <v>SDD_PLL_P8</v>
      </c>
      <c r="Q26" s="25">
        <f t="shared" si="1"/>
        <v>23</v>
      </c>
      <c r="R26" s="26" t="s">
        <v>115</v>
      </c>
      <c r="T26" s="1"/>
      <c r="U26" s="1"/>
    </row>
    <row r="27" spans="3:21" ht="16.5" thickBot="1">
      <c r="C27" s="1">
        <v>24</v>
      </c>
      <c r="D27" s="6" t="s">
        <v>29</v>
      </c>
      <c r="E27" s="6" t="s">
        <v>26</v>
      </c>
      <c r="H27" s="1">
        <v>24</v>
      </c>
      <c r="I27" s="1">
        <v>26</v>
      </c>
      <c r="J27" s="1">
        <v>4</v>
      </c>
      <c r="K27" s="1" t="str">
        <f t="shared" si="0"/>
        <v>SDD_PLL_P0L</v>
      </c>
      <c r="Q27" s="25">
        <f t="shared" si="1"/>
        <v>24</v>
      </c>
      <c r="R27" s="26" t="s">
        <v>116</v>
      </c>
      <c r="T27" s="1"/>
      <c r="U27" s="1"/>
    </row>
    <row r="28" spans="3:21" ht="15.75">
      <c r="C28" s="1">
        <v>25</v>
      </c>
      <c r="D28" s="3" t="s">
        <v>30</v>
      </c>
      <c r="E28" s="3" t="s">
        <v>16</v>
      </c>
      <c r="H28" s="1">
        <v>25</v>
      </c>
      <c r="I28" s="1">
        <v>26</v>
      </c>
      <c r="J28" s="1">
        <v>5</v>
      </c>
      <c r="K28" s="1" t="str">
        <f t="shared" si="0"/>
        <v>SDD_PLL_P0M_LT</v>
      </c>
      <c r="Q28" s="25">
        <f t="shared" si="1"/>
        <v>25</v>
      </c>
      <c r="R28" s="26" t="s">
        <v>117</v>
      </c>
      <c r="T28" s="1"/>
      <c r="U28" s="1"/>
    </row>
    <row r="29" spans="3:21" ht="15.75">
      <c r="C29" s="1">
        <v>26</v>
      </c>
      <c r="D29" s="1" t="s">
        <v>30</v>
      </c>
      <c r="E29" s="1" t="s">
        <v>19</v>
      </c>
      <c r="H29" s="1">
        <v>26</v>
      </c>
      <c r="I29" s="1">
        <v>26</v>
      </c>
      <c r="J29" s="1">
        <v>6</v>
      </c>
      <c r="K29" s="1" t="str">
        <f t="shared" si="0"/>
        <v>SDD_PLL_P0M_HT</v>
      </c>
      <c r="Q29" s="25">
        <f t="shared" si="1"/>
        <v>26</v>
      </c>
      <c r="R29" s="26" t="s">
        <v>118</v>
      </c>
      <c r="T29" s="1"/>
      <c r="U29" s="1"/>
    </row>
    <row r="30" spans="3:21" ht="15.75">
      <c r="C30" s="1">
        <v>27</v>
      </c>
      <c r="D30" s="1" t="s">
        <v>30</v>
      </c>
      <c r="E30" s="1" t="s">
        <v>22</v>
      </c>
      <c r="H30" s="1">
        <v>27</v>
      </c>
      <c r="I30" s="1">
        <v>26</v>
      </c>
      <c r="J30" s="1">
        <v>7</v>
      </c>
      <c r="K30" s="1" t="str">
        <f t="shared" si="0"/>
        <v>SDD_PLL_P0H_LT</v>
      </c>
      <c r="Q30" s="25">
        <f t="shared" si="1"/>
        <v>27</v>
      </c>
      <c r="R30" s="26" t="s">
        <v>119</v>
      </c>
      <c r="T30" s="1"/>
      <c r="U30" s="1"/>
    </row>
    <row r="31" spans="3:21" ht="15.75">
      <c r="C31" s="1">
        <v>28</v>
      </c>
      <c r="D31" s="1" t="s">
        <v>30</v>
      </c>
      <c r="E31" s="1" t="s">
        <v>24</v>
      </c>
      <c r="H31" s="1">
        <v>28</v>
      </c>
      <c r="I31" s="1">
        <v>26</v>
      </c>
      <c r="J31" s="1">
        <v>8</v>
      </c>
      <c r="K31" s="1" t="str">
        <f t="shared" si="0"/>
        <v>SDD_PLL_P0H_HT</v>
      </c>
      <c r="Q31" s="25">
        <f t="shared" si="1"/>
        <v>28</v>
      </c>
      <c r="R31" s="26" t="s">
        <v>120</v>
      </c>
      <c r="T31" s="1"/>
      <c r="U31" s="1"/>
    </row>
    <row r="32" spans="3:21" ht="15.75">
      <c r="C32" s="1">
        <v>29</v>
      </c>
      <c r="D32" s="1" t="s">
        <v>30</v>
      </c>
      <c r="E32" s="1" t="s">
        <v>25</v>
      </c>
      <c r="H32" s="1">
        <v>29</v>
      </c>
      <c r="I32" s="1">
        <v>17</v>
      </c>
      <c r="J32" s="1">
        <v>3</v>
      </c>
      <c r="K32" s="1" t="str">
        <f t="shared" si="0"/>
        <v>FTM_BR_PLL_P8</v>
      </c>
      <c r="Q32" s="25">
        <f t="shared" si="1"/>
        <v>29</v>
      </c>
      <c r="R32" s="26" t="s">
        <v>121</v>
      </c>
      <c r="T32" s="1"/>
      <c r="U32" s="1"/>
    </row>
    <row r="33" spans="3:21" ht="16.5" thickBot="1">
      <c r="C33" s="1">
        <v>30</v>
      </c>
      <c r="D33" s="6" t="s">
        <v>30</v>
      </c>
      <c r="E33" s="6" t="s">
        <v>26</v>
      </c>
      <c r="H33" s="1">
        <v>30</v>
      </c>
      <c r="I33" s="1">
        <v>17</v>
      </c>
      <c r="J33" s="1">
        <v>4</v>
      </c>
      <c r="K33" s="1" t="str">
        <f t="shared" si="0"/>
        <v>FTM_BR_PLL_P0L</v>
      </c>
      <c r="Q33" s="25">
        <f t="shared" si="1"/>
        <v>30</v>
      </c>
      <c r="R33" s="27" t="s">
        <v>122</v>
      </c>
      <c r="T33" s="1"/>
      <c r="U33" s="1"/>
    </row>
    <row r="34" spans="3:21" ht="15.75">
      <c r="C34" s="1">
        <v>31</v>
      </c>
      <c r="D34" s="1" t="s">
        <v>31</v>
      </c>
      <c r="E34" s="1" t="s">
        <v>6</v>
      </c>
      <c r="H34" s="1">
        <v>31</v>
      </c>
      <c r="I34" s="1">
        <v>17</v>
      </c>
      <c r="J34" s="1">
        <v>5</v>
      </c>
      <c r="K34" s="1" t="str">
        <f t="shared" si="0"/>
        <v>FTM_BR_PLL_P0M_LT</v>
      </c>
      <c r="Q34" s="25">
        <f t="shared" si="1"/>
        <v>31</v>
      </c>
      <c r="R34" s="27" t="s">
        <v>123</v>
      </c>
      <c r="T34" s="1"/>
      <c r="U34" s="1"/>
    </row>
    <row r="35" spans="3:21" ht="15.75">
      <c r="C35" s="1">
        <v>32</v>
      </c>
      <c r="D35" s="1" t="s">
        <v>28</v>
      </c>
      <c r="E35" s="1" t="s">
        <v>6</v>
      </c>
      <c r="H35" s="1">
        <v>32</v>
      </c>
      <c r="I35" s="1">
        <v>17</v>
      </c>
      <c r="J35" s="1">
        <v>6</v>
      </c>
      <c r="K35" s="1" t="str">
        <f t="shared" si="0"/>
        <v>FTM_BR_PLL_P0M_HT</v>
      </c>
      <c r="Q35" s="25">
        <f t="shared" si="1"/>
        <v>32</v>
      </c>
      <c r="R35" s="27" t="s">
        <v>124</v>
      </c>
    </row>
    <row r="36" spans="3:21" ht="16.5" thickBot="1">
      <c r="C36" s="1">
        <v>33</v>
      </c>
      <c r="D36" s="6" t="s">
        <v>32</v>
      </c>
      <c r="E36" s="6" t="s">
        <v>6</v>
      </c>
      <c r="H36" s="1">
        <v>33</v>
      </c>
      <c r="I36" s="1">
        <v>17</v>
      </c>
      <c r="J36" s="1">
        <v>7</v>
      </c>
      <c r="K36" s="1" t="str">
        <f t="shared" si="0"/>
        <v>FTM_BR_PLL_P0H_LT</v>
      </c>
      <c r="Q36" s="25">
        <f t="shared" si="1"/>
        <v>33</v>
      </c>
      <c r="R36" s="27" t="s">
        <v>125</v>
      </c>
    </row>
    <row r="37" spans="3:21" ht="15.75">
      <c r="C37" s="1">
        <v>34</v>
      </c>
      <c r="D37" s="3" t="s">
        <v>33</v>
      </c>
      <c r="E37" s="3" t="s">
        <v>34</v>
      </c>
      <c r="H37" s="1">
        <v>34</v>
      </c>
      <c r="I37" s="1">
        <v>17</v>
      </c>
      <c r="J37" s="1">
        <v>8</v>
      </c>
      <c r="K37" s="1" t="str">
        <f t="shared" si="0"/>
        <v>FTM_BR_PLL_P0H_HT</v>
      </c>
      <c r="Q37" s="25">
        <f t="shared" si="1"/>
        <v>34</v>
      </c>
      <c r="R37" s="27" t="s">
        <v>126</v>
      </c>
    </row>
    <row r="38" spans="3:21" ht="15.75">
      <c r="C38" s="1">
        <v>35</v>
      </c>
      <c r="D38" s="1" t="s">
        <v>33</v>
      </c>
      <c r="E38" s="1" t="s">
        <v>35</v>
      </c>
      <c r="H38" s="1">
        <v>35</v>
      </c>
      <c r="I38" s="1">
        <v>35</v>
      </c>
      <c r="J38" s="1">
        <v>0</v>
      </c>
      <c r="K38" s="1" t="str">
        <f t="shared" si="0"/>
        <v>MBIST_BYP_WAplusRA_STUCKAT</v>
      </c>
      <c r="Q38" s="25">
        <f t="shared" si="1"/>
        <v>35</v>
      </c>
      <c r="R38" s="27" t="s">
        <v>127</v>
      </c>
    </row>
    <row r="39" spans="3:21" ht="15.75">
      <c r="C39" s="1">
        <v>36</v>
      </c>
      <c r="D39" s="1" t="s">
        <v>33</v>
      </c>
      <c r="E39" s="1" t="s">
        <v>36</v>
      </c>
      <c r="H39" s="1">
        <v>36</v>
      </c>
      <c r="I39" s="1">
        <v>36</v>
      </c>
      <c r="J39" s="1">
        <v>0</v>
      </c>
      <c r="K39" s="1" t="str">
        <f t="shared" si="0"/>
        <v>MBIST_BYP_WAplusRASlowSVOP_STUCKAT</v>
      </c>
      <c r="Q39" s="25">
        <f t="shared" si="1"/>
        <v>36</v>
      </c>
      <c r="R39" s="27" t="s">
        <v>128</v>
      </c>
    </row>
    <row r="40" spans="3:21" ht="15.75">
      <c r="C40" s="1">
        <v>37</v>
      </c>
      <c r="D40" s="1" t="s">
        <v>33</v>
      </c>
      <c r="E40" s="1" t="s">
        <v>19</v>
      </c>
      <c r="H40" s="1">
        <v>37</v>
      </c>
      <c r="I40" s="1">
        <v>33</v>
      </c>
      <c r="J40" s="1">
        <v>0</v>
      </c>
      <c r="K40" s="1" t="str">
        <f t="shared" si="0"/>
        <v>MBIST_BYP_RA_STUCKAT</v>
      </c>
      <c r="Q40" s="25">
        <f t="shared" si="1"/>
        <v>37</v>
      </c>
      <c r="R40" s="27" t="s">
        <v>129</v>
      </c>
    </row>
    <row r="41" spans="3:21" ht="15.75">
      <c r="C41" s="1">
        <v>38</v>
      </c>
      <c r="D41" s="1" t="s">
        <v>33</v>
      </c>
      <c r="E41" s="1" t="s">
        <v>22</v>
      </c>
      <c r="H41" s="1">
        <v>38</v>
      </c>
      <c r="I41" s="1">
        <v>33</v>
      </c>
      <c r="J41" s="1">
        <v>1</v>
      </c>
      <c r="K41" s="1" t="str">
        <f t="shared" si="0"/>
        <v>MBIST_BYP_RA_STUCKAT_Vmax</v>
      </c>
      <c r="Q41" s="25">
        <f t="shared" si="1"/>
        <v>38</v>
      </c>
      <c r="R41" s="27" t="s">
        <v>130</v>
      </c>
    </row>
    <row r="42" spans="3:21" ht="15.75">
      <c r="C42" s="1">
        <v>39</v>
      </c>
      <c r="D42" s="1" t="s">
        <v>33</v>
      </c>
      <c r="E42" s="1" t="s">
        <v>24</v>
      </c>
      <c r="H42" s="1">
        <v>39</v>
      </c>
      <c r="I42" s="1">
        <v>44</v>
      </c>
      <c r="J42" s="1">
        <v>3</v>
      </c>
      <c r="K42" s="1" t="str">
        <f t="shared" si="0"/>
        <v>MBIST_PLL_P8</v>
      </c>
      <c r="Q42" s="25">
        <f t="shared" si="1"/>
        <v>39</v>
      </c>
      <c r="R42" s="27" t="s">
        <v>131</v>
      </c>
    </row>
    <row r="43" spans="3:21" ht="15.75">
      <c r="C43" s="1">
        <v>40</v>
      </c>
      <c r="D43" s="1" t="s">
        <v>33</v>
      </c>
      <c r="E43" s="1" t="s">
        <v>25</v>
      </c>
      <c r="H43" s="1">
        <v>37</v>
      </c>
      <c r="I43" s="1">
        <v>44</v>
      </c>
      <c r="J43" s="1">
        <v>4</v>
      </c>
      <c r="K43" s="1" t="str">
        <f t="shared" si="0"/>
        <v>MBIST_PLL_P0L</v>
      </c>
      <c r="Q43" s="25">
        <f t="shared" si="1"/>
        <v>40</v>
      </c>
      <c r="R43" s="27" t="s">
        <v>132</v>
      </c>
    </row>
    <row r="44" spans="3:21" ht="16.5" thickBot="1">
      <c r="C44" s="1">
        <v>41</v>
      </c>
      <c r="D44" s="6" t="s">
        <v>33</v>
      </c>
      <c r="E44" s="6" t="s">
        <v>26</v>
      </c>
      <c r="H44" s="1">
        <v>38</v>
      </c>
      <c r="I44" s="1">
        <v>44</v>
      </c>
      <c r="J44" s="1">
        <v>5</v>
      </c>
      <c r="K44" s="1" t="str">
        <f t="shared" si="0"/>
        <v>MBIST_PLL_P0M_LT</v>
      </c>
      <c r="Q44" s="25">
        <f t="shared" si="1"/>
        <v>41</v>
      </c>
      <c r="R44" s="27" t="s">
        <v>133</v>
      </c>
    </row>
    <row r="45" spans="3:21" ht="15.75">
      <c r="C45" s="1">
        <v>42</v>
      </c>
      <c r="D45" s="3" t="s">
        <v>33</v>
      </c>
      <c r="E45" s="3" t="s">
        <v>37</v>
      </c>
      <c r="H45" s="1">
        <v>39</v>
      </c>
      <c r="I45" s="1">
        <v>44</v>
      </c>
      <c r="J45" s="1">
        <v>6</v>
      </c>
      <c r="K45" s="1" t="str">
        <f t="shared" si="0"/>
        <v>MBIST_PLL_P0M_HT</v>
      </c>
      <c r="Q45" s="25">
        <f t="shared" si="1"/>
        <v>42</v>
      </c>
      <c r="R45" s="27" t="s">
        <v>134</v>
      </c>
    </row>
    <row r="46" spans="3:21" ht="15.75">
      <c r="C46" s="1">
        <v>43</v>
      </c>
      <c r="D46" s="1" t="s">
        <v>33</v>
      </c>
      <c r="E46" s="1" t="s">
        <v>38</v>
      </c>
      <c r="H46" s="1">
        <v>40</v>
      </c>
      <c r="I46" s="1">
        <v>44</v>
      </c>
      <c r="J46" s="1">
        <v>7</v>
      </c>
      <c r="K46" s="1" t="str">
        <f t="shared" si="0"/>
        <v>MBIST_PLL_P0H_LT</v>
      </c>
      <c r="Q46" s="25">
        <f t="shared" si="1"/>
        <v>43</v>
      </c>
      <c r="R46" s="27" t="s">
        <v>135</v>
      </c>
    </row>
    <row r="47" spans="3:21" ht="16.5" thickBot="1">
      <c r="C47" s="1">
        <v>44</v>
      </c>
      <c r="D47" s="6" t="s">
        <v>33</v>
      </c>
      <c r="E47" s="6" t="s">
        <v>39</v>
      </c>
      <c r="H47" s="1">
        <v>41</v>
      </c>
      <c r="I47" s="1">
        <v>44</v>
      </c>
      <c r="J47" s="1">
        <v>8</v>
      </c>
      <c r="K47" s="1" t="str">
        <f t="shared" si="0"/>
        <v>MBIST_PLL_P0H_HT</v>
      </c>
      <c r="Q47" s="25">
        <f t="shared" si="1"/>
        <v>44</v>
      </c>
      <c r="R47" s="27" t="s">
        <v>136</v>
      </c>
    </row>
    <row r="48" spans="3:21" ht="15.75">
      <c r="C48" s="1">
        <v>45</v>
      </c>
      <c r="D48" s="3" t="s">
        <v>33</v>
      </c>
      <c r="E48" s="3" t="s">
        <v>40</v>
      </c>
      <c r="H48" s="1">
        <v>42</v>
      </c>
      <c r="I48" s="1">
        <v>44</v>
      </c>
      <c r="J48" s="1">
        <v>9</v>
      </c>
      <c r="K48" s="1" t="str">
        <f t="shared" si="0"/>
        <v>MBIST_PLL_P0H_LT_Vmax</v>
      </c>
      <c r="Q48" s="25">
        <f t="shared" si="1"/>
        <v>45</v>
      </c>
      <c r="R48" s="27" t="s">
        <v>137</v>
      </c>
    </row>
    <row r="49" spans="3:18" ht="15.75">
      <c r="C49" s="1">
        <v>46</v>
      </c>
      <c r="D49" s="1" t="s">
        <v>33</v>
      </c>
      <c r="E49" s="1" t="s">
        <v>41</v>
      </c>
      <c r="H49" s="1">
        <v>43</v>
      </c>
      <c r="I49" s="1">
        <v>44</v>
      </c>
      <c r="J49" s="1">
        <v>10</v>
      </c>
      <c r="K49" s="1" t="str">
        <f t="shared" si="0"/>
        <v>MBIST_PLL_P0H_HT_Vmax</v>
      </c>
      <c r="Q49" s="25">
        <f t="shared" si="1"/>
        <v>46</v>
      </c>
      <c r="R49" s="27" t="s">
        <v>138</v>
      </c>
    </row>
    <row r="50" spans="3:18" ht="16.5" thickBot="1">
      <c r="C50" s="1">
        <v>47</v>
      </c>
      <c r="D50" s="6" t="s">
        <v>33</v>
      </c>
      <c r="E50" s="6" t="s">
        <v>44</v>
      </c>
      <c r="H50" s="1">
        <v>44</v>
      </c>
      <c r="I50" s="1">
        <v>1</v>
      </c>
      <c r="J50" s="1">
        <f>J3+11</f>
        <v>11</v>
      </c>
      <c r="K50" s="1" t="str">
        <f t="shared" si="0"/>
        <v>SA_BASE_STUCKAT_Adaptive</v>
      </c>
      <c r="Q50" s="25">
        <f t="shared" si="1"/>
        <v>47</v>
      </c>
      <c r="R50" s="27" t="s">
        <v>139</v>
      </c>
    </row>
    <row r="51" spans="3:18" ht="15.75">
      <c r="C51" s="1">
        <v>48</v>
      </c>
      <c r="D51" s="3" t="s">
        <v>33</v>
      </c>
      <c r="E51" s="3" t="s">
        <v>45</v>
      </c>
      <c r="H51" s="1">
        <v>45</v>
      </c>
      <c r="I51" s="1">
        <v>1</v>
      </c>
      <c r="J51" s="1">
        <f t="shared" ref="J51:J96" si="5">J4+11</f>
        <v>12</v>
      </c>
      <c r="K51" s="1" t="str">
        <f t="shared" si="0"/>
        <v>SA_BASE_STUCKAT_Vmax_Adaptive</v>
      </c>
      <c r="Q51" s="25">
        <f t="shared" si="1"/>
        <v>48</v>
      </c>
      <c r="R51" s="27" t="s">
        <v>140</v>
      </c>
    </row>
    <row r="52" spans="3:18" ht="16.5" thickBot="1">
      <c r="C52" s="1">
        <v>49</v>
      </c>
      <c r="D52" s="2" t="s">
        <v>33</v>
      </c>
      <c r="E52" s="2" t="s">
        <v>46</v>
      </c>
      <c r="H52" s="1">
        <v>46</v>
      </c>
      <c r="I52" s="1">
        <v>22</v>
      </c>
      <c r="J52" s="1">
        <f t="shared" si="5"/>
        <v>11</v>
      </c>
      <c r="K52" s="1" t="str">
        <f t="shared" si="0"/>
        <v>CAS_STUCKAT_Adaptive</v>
      </c>
      <c r="Q52" s="25">
        <f t="shared" si="1"/>
        <v>49</v>
      </c>
      <c r="R52" s="27" t="s">
        <v>141</v>
      </c>
    </row>
    <row r="53" spans="3:18" ht="15.75">
      <c r="C53" s="1">
        <v>50</v>
      </c>
      <c r="D53" s="3" t="s">
        <v>47</v>
      </c>
      <c r="E53" s="3" t="s">
        <v>48</v>
      </c>
      <c r="H53" s="1">
        <v>47</v>
      </c>
      <c r="I53" s="1">
        <v>2</v>
      </c>
      <c r="J53" s="1">
        <f t="shared" si="5"/>
        <v>11</v>
      </c>
      <c r="K53" s="1" t="str">
        <f t="shared" si="0"/>
        <v>SA_FS_STUCKAT_Adaptive</v>
      </c>
      <c r="Q53" s="25">
        <f t="shared" si="1"/>
        <v>50</v>
      </c>
      <c r="R53" s="27" t="s">
        <v>142</v>
      </c>
    </row>
    <row r="54" spans="3:18" ht="15.75">
      <c r="C54" s="1">
        <v>51</v>
      </c>
      <c r="D54" s="1" t="s">
        <v>47</v>
      </c>
      <c r="E54" s="1" t="s">
        <v>45</v>
      </c>
      <c r="H54" s="1">
        <v>48</v>
      </c>
      <c r="I54" s="1">
        <v>4</v>
      </c>
      <c r="J54" s="1">
        <f t="shared" si="5"/>
        <v>11</v>
      </c>
      <c r="K54" s="1" t="str">
        <f t="shared" si="0"/>
        <v>SA_BR_STUCKAT_Adaptive</v>
      </c>
      <c r="Q54" s="25">
        <f t="shared" si="1"/>
        <v>51</v>
      </c>
      <c r="R54" s="27" t="s">
        <v>143</v>
      </c>
    </row>
    <row r="55" spans="3:18" ht="16.5" thickBot="1">
      <c r="C55" s="1">
        <v>52</v>
      </c>
      <c r="D55" s="2" t="s">
        <v>47</v>
      </c>
      <c r="E55" s="2" t="s">
        <v>46</v>
      </c>
      <c r="H55" s="1">
        <v>49</v>
      </c>
      <c r="I55" s="1">
        <v>14</v>
      </c>
      <c r="J55" s="1">
        <f t="shared" si="5"/>
        <v>14</v>
      </c>
      <c r="K55" s="1" t="str">
        <f t="shared" si="0"/>
        <v>FTM_PLL_P8_Adaptive</v>
      </c>
      <c r="Q55" s="25">
        <f t="shared" si="1"/>
        <v>52</v>
      </c>
      <c r="R55" s="27" t="s">
        <v>144</v>
      </c>
    </row>
    <row r="56" spans="3:18" ht="15.75">
      <c r="C56" s="1">
        <v>53</v>
      </c>
      <c r="D56" s="3" t="s">
        <v>49</v>
      </c>
      <c r="E56" s="3" t="s">
        <v>50</v>
      </c>
      <c r="H56" s="1">
        <v>50</v>
      </c>
      <c r="I56" s="1">
        <v>14</v>
      </c>
      <c r="J56" s="1">
        <f t="shared" si="5"/>
        <v>15</v>
      </c>
      <c r="K56" s="1" t="str">
        <f t="shared" si="0"/>
        <v>FTM_PLL_P0L_Adaptive</v>
      </c>
      <c r="Q56" s="25">
        <f t="shared" si="1"/>
        <v>53</v>
      </c>
      <c r="R56" s="27" t="s">
        <v>145</v>
      </c>
    </row>
    <row r="57" spans="3:18" ht="15.75">
      <c r="C57" s="1">
        <v>54</v>
      </c>
      <c r="D57" s="1" t="s">
        <v>49</v>
      </c>
      <c r="E57" s="1" t="s">
        <v>52</v>
      </c>
      <c r="H57" s="1">
        <v>51</v>
      </c>
      <c r="I57" s="1">
        <v>14</v>
      </c>
      <c r="J57" s="1">
        <f t="shared" si="5"/>
        <v>16</v>
      </c>
      <c r="K57" s="1" t="str">
        <f t="shared" si="0"/>
        <v>FTM_PLL_P0M_LT_Adaptive</v>
      </c>
      <c r="Q57" s="25">
        <f t="shared" si="1"/>
        <v>54</v>
      </c>
      <c r="R57" s="27" t="s">
        <v>146</v>
      </c>
    </row>
    <row r="58" spans="3:18" ht="15.75">
      <c r="C58" s="1">
        <v>55</v>
      </c>
      <c r="D58" s="1" t="s">
        <v>49</v>
      </c>
      <c r="E58" s="1" t="s">
        <v>53</v>
      </c>
      <c r="H58" s="1">
        <v>52</v>
      </c>
      <c r="I58" s="1">
        <v>14</v>
      </c>
      <c r="J58" s="1">
        <f t="shared" si="5"/>
        <v>17</v>
      </c>
      <c r="K58" s="1" t="str">
        <f t="shared" si="0"/>
        <v>FTM_PLL_P0M_HT_Adaptive</v>
      </c>
      <c r="Q58" s="25">
        <f t="shared" si="1"/>
        <v>55</v>
      </c>
      <c r="R58" s="27" t="s">
        <v>147</v>
      </c>
    </row>
    <row r="59" spans="3:18" ht="16.5" thickBot="1">
      <c r="C59" s="1">
        <v>56</v>
      </c>
      <c r="D59" s="6" t="s">
        <v>49</v>
      </c>
      <c r="E59" s="6" t="s">
        <v>54</v>
      </c>
      <c r="H59" s="1">
        <v>53</v>
      </c>
      <c r="I59" s="1">
        <v>14</v>
      </c>
      <c r="J59" s="1">
        <f t="shared" si="5"/>
        <v>18</v>
      </c>
      <c r="K59" s="1" t="str">
        <f t="shared" si="0"/>
        <v>FTM_PLL_P0H_LT_Adaptive</v>
      </c>
      <c r="Q59" s="25">
        <f t="shared" si="1"/>
        <v>56</v>
      </c>
      <c r="R59" s="27" t="s">
        <v>148</v>
      </c>
    </row>
    <row r="60" spans="3:18" ht="15.75">
      <c r="C60" s="1">
        <v>57</v>
      </c>
      <c r="D60" s="11" t="s">
        <v>55</v>
      </c>
      <c r="E60" s="11" t="s">
        <v>56</v>
      </c>
      <c r="H60" s="1">
        <v>54</v>
      </c>
      <c r="I60" s="1">
        <v>14</v>
      </c>
      <c r="J60" s="1">
        <f t="shared" si="5"/>
        <v>19</v>
      </c>
      <c r="K60" s="1" t="str">
        <f t="shared" si="0"/>
        <v>FTM_PLL_P0H_HT_Adaptive</v>
      </c>
      <c r="Q60" s="25">
        <f t="shared" si="1"/>
        <v>57</v>
      </c>
      <c r="R60" s="27" t="s">
        <v>149</v>
      </c>
    </row>
    <row r="61" spans="3:18" ht="15.75">
      <c r="C61" s="1">
        <v>58</v>
      </c>
      <c r="D61" s="1" t="s">
        <v>57</v>
      </c>
      <c r="E61" s="1" t="s">
        <v>56</v>
      </c>
      <c r="H61" s="1">
        <v>55</v>
      </c>
      <c r="I61" s="1">
        <v>15</v>
      </c>
      <c r="J61" s="1">
        <f t="shared" si="5"/>
        <v>14</v>
      </c>
      <c r="K61" s="1" t="str">
        <f t="shared" si="0"/>
        <v>FTM_ALLSEQ_PLL_P8_Adaptive</v>
      </c>
      <c r="Q61" s="25">
        <f t="shared" si="1"/>
        <v>58</v>
      </c>
      <c r="R61" s="27" t="s">
        <v>150</v>
      </c>
    </row>
    <row r="62" spans="3:18" ht="15.75">
      <c r="C62" s="1">
        <v>59</v>
      </c>
      <c r="D62" s="1" t="s">
        <v>58</v>
      </c>
      <c r="E62" s="1" t="s">
        <v>56</v>
      </c>
      <c r="H62" s="1">
        <v>56</v>
      </c>
      <c r="I62" s="1">
        <v>15</v>
      </c>
      <c r="J62" s="1">
        <f t="shared" si="5"/>
        <v>15</v>
      </c>
      <c r="K62" s="1" t="str">
        <f t="shared" si="0"/>
        <v>FTM_ALLSEQ_PLL_P0L_Adaptive</v>
      </c>
      <c r="Q62" s="25">
        <f t="shared" si="1"/>
        <v>59</v>
      </c>
      <c r="R62" s="27" t="s">
        <v>151</v>
      </c>
    </row>
    <row r="63" spans="3:18" ht="15.75">
      <c r="C63" s="1">
        <v>60</v>
      </c>
      <c r="D63" s="1" t="s">
        <v>59</v>
      </c>
      <c r="E63" s="1" t="s">
        <v>56</v>
      </c>
      <c r="H63" s="1">
        <v>57</v>
      </c>
      <c r="I63" s="1">
        <v>15</v>
      </c>
      <c r="J63" s="1">
        <f t="shared" si="5"/>
        <v>16</v>
      </c>
      <c r="K63" s="1" t="str">
        <f t="shared" si="0"/>
        <v>FTM_ALLSEQ_PLL_P0M_LT_Adaptive</v>
      </c>
      <c r="Q63" s="25">
        <f t="shared" si="1"/>
        <v>60</v>
      </c>
      <c r="R63" s="27" t="s">
        <v>152</v>
      </c>
    </row>
    <row r="64" spans="3:18" ht="16.5" thickBot="1">
      <c r="C64" s="1">
        <v>61</v>
      </c>
      <c r="D64" s="2" t="s">
        <v>60</v>
      </c>
      <c r="E64" s="2" t="s">
        <v>56</v>
      </c>
      <c r="H64" s="1">
        <v>58</v>
      </c>
      <c r="I64" s="1">
        <v>15</v>
      </c>
      <c r="J64" s="1">
        <f t="shared" si="5"/>
        <v>17</v>
      </c>
      <c r="K64" s="1" t="str">
        <f t="shared" si="0"/>
        <v>FTM_ALLSEQ_PLL_P0M_HT_Adaptive</v>
      </c>
      <c r="Q64" s="25">
        <f t="shared" si="1"/>
        <v>61</v>
      </c>
      <c r="R64" s="27" t="s">
        <v>153</v>
      </c>
    </row>
    <row r="65" spans="3:18" ht="15.75">
      <c r="C65" s="1">
        <v>62</v>
      </c>
      <c r="D65" s="3" t="s">
        <v>61</v>
      </c>
      <c r="E65" s="3" t="s">
        <v>16</v>
      </c>
      <c r="H65" s="1">
        <v>59</v>
      </c>
      <c r="I65" s="1">
        <v>15</v>
      </c>
      <c r="J65" s="1">
        <f t="shared" si="5"/>
        <v>18</v>
      </c>
      <c r="K65" s="1" t="str">
        <f t="shared" si="0"/>
        <v>FTM_ALLSEQ_PLL_P0H_LT_Adaptive</v>
      </c>
      <c r="Q65" s="25">
        <f t="shared" si="1"/>
        <v>62</v>
      </c>
      <c r="R65" s="27" t="s">
        <v>154</v>
      </c>
    </row>
    <row r="66" spans="3:18" ht="15.75">
      <c r="C66" s="1">
        <v>63</v>
      </c>
      <c r="D66" s="1" t="s">
        <v>61</v>
      </c>
      <c r="E66" s="1" t="s">
        <v>19</v>
      </c>
      <c r="H66" s="1">
        <v>60</v>
      </c>
      <c r="I66" s="1">
        <v>15</v>
      </c>
      <c r="J66" s="1">
        <f t="shared" si="5"/>
        <v>19</v>
      </c>
      <c r="K66" s="1" t="str">
        <f t="shared" si="0"/>
        <v>FTM_ALLSEQ_PLL_P0H_HT_Adaptive</v>
      </c>
      <c r="Q66" s="25">
        <f t="shared" si="1"/>
        <v>63</v>
      </c>
      <c r="R66" s="27" t="s">
        <v>155</v>
      </c>
    </row>
    <row r="67" spans="3:18" ht="15.75">
      <c r="C67" s="1">
        <v>64</v>
      </c>
      <c r="D67" s="1" t="s">
        <v>61</v>
      </c>
      <c r="E67" s="1" t="s">
        <v>22</v>
      </c>
      <c r="H67" s="1">
        <v>61</v>
      </c>
      <c r="I67" s="1">
        <v>21</v>
      </c>
      <c r="J67" s="1">
        <f t="shared" si="5"/>
        <v>14</v>
      </c>
      <c r="K67" s="1" t="str">
        <f t="shared" si="0"/>
        <v>CAD_PLL_P8_Adaptive</v>
      </c>
      <c r="Q67" s="25">
        <f t="shared" si="1"/>
        <v>64</v>
      </c>
      <c r="R67" s="27" t="s">
        <v>156</v>
      </c>
    </row>
    <row r="68" spans="3:18">
      <c r="C68" s="1">
        <v>65</v>
      </c>
      <c r="D68" s="1" t="s">
        <v>61</v>
      </c>
      <c r="E68" s="1" t="s">
        <v>24</v>
      </c>
      <c r="H68" s="1">
        <v>62</v>
      </c>
      <c r="I68" s="1">
        <v>21</v>
      </c>
      <c r="J68" s="1">
        <f t="shared" si="5"/>
        <v>15</v>
      </c>
      <c r="K68" s="1" t="str">
        <f t="shared" ref="K68:K96" si="6">CONCATENATE(VLOOKUP(I68,$Q$3:$R$67,2,FALSE),"_",VLOOKUP(J68,$T$3:$U$34,2,FALSE))</f>
        <v>CAD_PLL_P0L_Adaptive</v>
      </c>
    </row>
    <row r="69" spans="3:18">
      <c r="C69" s="1">
        <v>66</v>
      </c>
      <c r="D69" s="1" t="s">
        <v>61</v>
      </c>
      <c r="E69" s="1" t="s">
        <v>25</v>
      </c>
      <c r="H69" s="1">
        <v>63</v>
      </c>
      <c r="I69" s="1">
        <v>21</v>
      </c>
      <c r="J69" s="1">
        <f t="shared" si="5"/>
        <v>16</v>
      </c>
      <c r="K69" s="1" t="str">
        <f t="shared" si="6"/>
        <v>CAD_PLL_P0M_LT_Adaptive</v>
      </c>
    </row>
    <row r="70" spans="3:18" ht="15.75" thickBot="1">
      <c r="C70" s="1">
        <v>67</v>
      </c>
      <c r="D70" s="2" t="s">
        <v>61</v>
      </c>
      <c r="E70" s="2" t="s">
        <v>26</v>
      </c>
      <c r="H70" s="1">
        <v>64</v>
      </c>
      <c r="I70" s="1">
        <v>21</v>
      </c>
      <c r="J70" s="1">
        <f t="shared" si="5"/>
        <v>17</v>
      </c>
      <c r="K70" s="1" t="str">
        <f t="shared" si="6"/>
        <v>CAD_PLL_P0M_HT_Adaptive</v>
      </c>
    </row>
    <row r="71" spans="3:18">
      <c r="C71" s="1">
        <v>68</v>
      </c>
      <c r="D71" s="3" t="s">
        <v>62</v>
      </c>
      <c r="E71" s="3" t="s">
        <v>63</v>
      </c>
      <c r="H71" s="1">
        <v>65</v>
      </c>
      <c r="I71" s="1">
        <v>21</v>
      </c>
      <c r="J71" s="1">
        <f t="shared" si="5"/>
        <v>18</v>
      </c>
      <c r="K71" s="1" t="str">
        <f t="shared" si="6"/>
        <v>CAD_PLL_P0H_LT_Adaptive</v>
      </c>
    </row>
    <row r="72" spans="3:18">
      <c r="C72" s="1">
        <v>69</v>
      </c>
      <c r="D72" s="1" t="s">
        <v>65</v>
      </c>
      <c r="E72" s="1" t="s">
        <v>37</v>
      </c>
      <c r="H72" s="1">
        <v>66</v>
      </c>
      <c r="I72" s="1">
        <v>21</v>
      </c>
      <c r="J72" s="1">
        <f t="shared" si="5"/>
        <v>19</v>
      </c>
      <c r="K72" s="1" t="str">
        <f t="shared" si="6"/>
        <v>CAD_PLL_P0H_HT_Adaptive</v>
      </c>
    </row>
    <row r="73" spans="3:18">
      <c r="C73" s="1">
        <v>70</v>
      </c>
      <c r="D73" s="1" t="s">
        <v>66</v>
      </c>
      <c r="E73" s="1" t="s">
        <v>37</v>
      </c>
      <c r="H73" s="1">
        <v>67</v>
      </c>
      <c r="I73" s="1">
        <v>26</v>
      </c>
      <c r="J73" s="1">
        <f t="shared" si="5"/>
        <v>14</v>
      </c>
      <c r="K73" s="1" t="str">
        <f t="shared" si="6"/>
        <v>SDD_PLL_P8_Adaptive</v>
      </c>
    </row>
    <row r="74" spans="3:18">
      <c r="C74" s="1">
        <v>71</v>
      </c>
      <c r="D74" s="1" t="s">
        <v>66</v>
      </c>
      <c r="E74" s="1" t="s">
        <v>16</v>
      </c>
      <c r="H74" s="1">
        <v>68</v>
      </c>
      <c r="I74" s="1">
        <v>26</v>
      </c>
      <c r="J74" s="1">
        <f t="shared" si="5"/>
        <v>15</v>
      </c>
      <c r="K74" s="1" t="str">
        <f t="shared" si="6"/>
        <v>SDD_PLL_P0L_Adaptive</v>
      </c>
    </row>
    <row r="75" spans="3:18">
      <c r="C75" s="1">
        <v>72</v>
      </c>
      <c r="D75" s="1" t="s">
        <v>66</v>
      </c>
      <c r="E75" s="1" t="s">
        <v>19</v>
      </c>
      <c r="H75" s="1">
        <v>69</v>
      </c>
      <c r="I75" s="1">
        <v>26</v>
      </c>
      <c r="J75" s="1">
        <f t="shared" si="5"/>
        <v>16</v>
      </c>
      <c r="K75" s="1" t="str">
        <f t="shared" si="6"/>
        <v>SDD_PLL_P0M_LT_Adaptive</v>
      </c>
    </row>
    <row r="76" spans="3:18">
      <c r="C76" s="1">
        <v>73</v>
      </c>
      <c r="D76" s="1" t="s">
        <v>66</v>
      </c>
      <c r="E76" s="1" t="s">
        <v>22</v>
      </c>
      <c r="H76" s="1">
        <v>70</v>
      </c>
      <c r="I76" s="1">
        <v>26</v>
      </c>
      <c r="J76" s="1">
        <f t="shared" si="5"/>
        <v>17</v>
      </c>
      <c r="K76" s="1" t="str">
        <f t="shared" si="6"/>
        <v>SDD_PLL_P0M_HT_Adaptive</v>
      </c>
    </row>
    <row r="77" spans="3:18">
      <c r="C77" s="1">
        <v>74</v>
      </c>
      <c r="D77" s="1" t="s">
        <v>66</v>
      </c>
      <c r="E77" s="1" t="s">
        <v>24</v>
      </c>
      <c r="H77" s="1">
        <v>71</v>
      </c>
      <c r="I77" s="1">
        <v>26</v>
      </c>
      <c r="J77" s="1">
        <f t="shared" si="5"/>
        <v>18</v>
      </c>
      <c r="K77" s="1" t="str">
        <f t="shared" si="6"/>
        <v>SDD_PLL_P0H_LT_Adaptive</v>
      </c>
    </row>
    <row r="78" spans="3:18">
      <c r="C78" s="1">
        <v>75</v>
      </c>
      <c r="D78" s="1" t="s">
        <v>66</v>
      </c>
      <c r="E78" s="1" t="s">
        <v>25</v>
      </c>
      <c r="H78" s="1">
        <v>72</v>
      </c>
      <c r="I78" s="1">
        <v>26</v>
      </c>
      <c r="J78" s="1">
        <f t="shared" si="5"/>
        <v>19</v>
      </c>
      <c r="K78" s="1" t="str">
        <f t="shared" si="6"/>
        <v>SDD_PLL_P0H_HT_Adaptive</v>
      </c>
    </row>
    <row r="79" spans="3:18">
      <c r="C79" s="1">
        <v>76</v>
      </c>
      <c r="D79" s="1" t="s">
        <v>66</v>
      </c>
      <c r="E79" s="1" t="s">
        <v>26</v>
      </c>
      <c r="H79" s="1">
        <v>73</v>
      </c>
      <c r="I79" s="1">
        <v>17</v>
      </c>
      <c r="J79" s="1">
        <f t="shared" si="5"/>
        <v>14</v>
      </c>
      <c r="K79" s="1" t="str">
        <f t="shared" si="6"/>
        <v>FTM_BR_PLL_P8_Adaptive</v>
      </c>
    </row>
    <row r="80" spans="3:18">
      <c r="C80" s="1">
        <v>77</v>
      </c>
      <c r="D80" s="1" t="s">
        <v>68</v>
      </c>
      <c r="E80" s="1" t="s">
        <v>37</v>
      </c>
      <c r="H80" s="1">
        <v>74</v>
      </c>
      <c r="I80" s="1">
        <v>17</v>
      </c>
      <c r="J80" s="1">
        <f t="shared" si="5"/>
        <v>15</v>
      </c>
      <c r="K80" s="1" t="str">
        <f t="shared" si="6"/>
        <v>FTM_BR_PLL_P0L_Adaptive</v>
      </c>
    </row>
    <row r="81" spans="3:11">
      <c r="C81" s="1">
        <v>78</v>
      </c>
      <c r="D81" s="1" t="s">
        <v>69</v>
      </c>
      <c r="E81" s="1" t="s">
        <v>37</v>
      </c>
      <c r="H81" s="1">
        <v>75</v>
      </c>
      <c r="I81" s="1">
        <v>17</v>
      </c>
      <c r="J81" s="1">
        <f t="shared" si="5"/>
        <v>16</v>
      </c>
      <c r="K81" s="1" t="str">
        <f t="shared" si="6"/>
        <v>FTM_BR_PLL_P0M_LT_Adaptive</v>
      </c>
    </row>
    <row r="82" spans="3:11" ht="15.75" thickBot="1">
      <c r="C82" s="1">
        <v>79</v>
      </c>
      <c r="D82" s="6" t="s">
        <v>70</v>
      </c>
      <c r="E82" s="6" t="s">
        <v>37</v>
      </c>
      <c r="H82" s="1">
        <v>76</v>
      </c>
      <c r="I82" s="1">
        <v>17</v>
      </c>
      <c r="J82" s="1">
        <f t="shared" si="5"/>
        <v>17</v>
      </c>
      <c r="K82" s="1" t="str">
        <f t="shared" si="6"/>
        <v>FTM_BR_PLL_P0M_HT_Adaptive</v>
      </c>
    </row>
    <row r="83" spans="3:11">
      <c r="H83" s="1">
        <v>77</v>
      </c>
      <c r="I83" s="1">
        <v>17</v>
      </c>
      <c r="J83" s="1">
        <f t="shared" si="5"/>
        <v>18</v>
      </c>
      <c r="K83" s="1" t="str">
        <f t="shared" si="6"/>
        <v>FTM_BR_PLL_P0H_LT_Adaptive</v>
      </c>
    </row>
    <row r="84" spans="3:11">
      <c r="H84" s="1">
        <v>78</v>
      </c>
      <c r="I84" s="1">
        <v>17</v>
      </c>
      <c r="J84" s="1">
        <f t="shared" si="5"/>
        <v>19</v>
      </c>
      <c r="K84" s="1" t="str">
        <f t="shared" si="6"/>
        <v>FTM_BR_PLL_P0H_HT_Adaptive</v>
      </c>
    </row>
    <row r="85" spans="3:11">
      <c r="H85" s="1">
        <v>79</v>
      </c>
      <c r="I85" s="1">
        <v>35</v>
      </c>
      <c r="J85" s="1">
        <f t="shared" si="5"/>
        <v>11</v>
      </c>
      <c r="K85" s="1" t="str">
        <f t="shared" si="6"/>
        <v>MBIST_BYP_WAplusRA_STUCKAT_Adaptive</v>
      </c>
    </row>
    <row r="86" spans="3:11">
      <c r="H86" s="1">
        <v>80</v>
      </c>
      <c r="I86" s="1">
        <v>36</v>
      </c>
      <c r="J86" s="1">
        <f t="shared" si="5"/>
        <v>11</v>
      </c>
      <c r="K86" s="1" t="str">
        <f t="shared" si="6"/>
        <v>MBIST_BYP_WAplusRASlowSVOP_STUCKAT_Adaptive</v>
      </c>
    </row>
    <row r="87" spans="3:11">
      <c r="H87" s="1">
        <v>81</v>
      </c>
      <c r="I87" s="1">
        <v>33</v>
      </c>
      <c r="J87" s="1">
        <f t="shared" si="5"/>
        <v>11</v>
      </c>
      <c r="K87" s="1" t="str">
        <f t="shared" si="6"/>
        <v>MBIST_BYP_RA_STUCKAT_Adaptive</v>
      </c>
    </row>
    <row r="88" spans="3:11">
      <c r="H88" s="1">
        <v>82</v>
      </c>
      <c r="I88" s="1">
        <v>33</v>
      </c>
      <c r="J88" s="1">
        <f t="shared" si="5"/>
        <v>12</v>
      </c>
      <c r="K88" s="1" t="str">
        <f t="shared" si="6"/>
        <v>MBIST_BYP_RA_STUCKAT_Vmax_Adaptive</v>
      </c>
    </row>
    <row r="89" spans="3:11">
      <c r="H89" s="1">
        <v>83</v>
      </c>
      <c r="I89" s="1">
        <v>44</v>
      </c>
      <c r="J89" s="1">
        <f t="shared" si="5"/>
        <v>14</v>
      </c>
      <c r="K89" s="1" t="str">
        <f t="shared" si="6"/>
        <v>MBIST_PLL_P8_Adaptive</v>
      </c>
    </row>
    <row r="90" spans="3:11">
      <c r="H90" s="1">
        <v>84</v>
      </c>
      <c r="I90" s="1">
        <v>44</v>
      </c>
      <c r="J90" s="1">
        <f t="shared" si="5"/>
        <v>15</v>
      </c>
      <c r="K90" s="1" t="str">
        <f t="shared" si="6"/>
        <v>MBIST_PLL_P0L_Adaptive</v>
      </c>
    </row>
    <row r="91" spans="3:11">
      <c r="H91" s="1">
        <v>85</v>
      </c>
      <c r="I91" s="1">
        <v>44</v>
      </c>
      <c r="J91" s="1">
        <f t="shared" si="5"/>
        <v>16</v>
      </c>
      <c r="K91" s="1" t="str">
        <f t="shared" si="6"/>
        <v>MBIST_PLL_P0M_LT_Adaptive</v>
      </c>
    </row>
    <row r="92" spans="3:11">
      <c r="H92" s="1">
        <v>86</v>
      </c>
      <c r="I92" s="1">
        <v>44</v>
      </c>
      <c r="J92" s="1">
        <f t="shared" si="5"/>
        <v>17</v>
      </c>
      <c r="K92" s="1" t="str">
        <f t="shared" si="6"/>
        <v>MBIST_PLL_P0M_HT_Adaptive</v>
      </c>
    </row>
    <row r="93" spans="3:11">
      <c r="H93" s="1">
        <v>87</v>
      </c>
      <c r="I93" s="1">
        <v>44</v>
      </c>
      <c r="J93" s="1">
        <f t="shared" si="5"/>
        <v>18</v>
      </c>
      <c r="K93" s="1" t="str">
        <f t="shared" si="6"/>
        <v>MBIST_PLL_P0H_LT_Adaptive</v>
      </c>
    </row>
    <row r="94" spans="3:11">
      <c r="H94" s="1">
        <v>88</v>
      </c>
      <c r="I94" s="1">
        <v>44</v>
      </c>
      <c r="J94" s="1">
        <f t="shared" si="5"/>
        <v>19</v>
      </c>
      <c r="K94" s="1" t="str">
        <f t="shared" si="6"/>
        <v>MBIST_PLL_P0H_HT_Adaptive</v>
      </c>
    </row>
    <row r="95" spans="3:11">
      <c r="H95" s="1">
        <v>89</v>
      </c>
      <c r="I95" s="1">
        <v>44</v>
      </c>
      <c r="J95" s="1">
        <f>J48+11</f>
        <v>20</v>
      </c>
      <c r="K95" s="1" t="str">
        <f t="shared" si="6"/>
        <v>MBIST_PLL_P0H_LT_Vmax_Adaptive</v>
      </c>
    </row>
    <row r="96" spans="3:11">
      <c r="H96" s="1">
        <v>90</v>
      </c>
      <c r="I96" s="1">
        <v>44</v>
      </c>
      <c r="J96" s="1">
        <f t="shared" si="5"/>
        <v>21</v>
      </c>
      <c r="K96" s="1" t="str">
        <f t="shared" si="6"/>
        <v>MBIST_PLL_P0H_HT_Vmax_Adaptive</v>
      </c>
    </row>
    <row r="97" spans="8:11">
      <c r="H97" s="1"/>
      <c r="I97" s="1"/>
      <c r="J97" s="1"/>
      <c r="K97" s="1"/>
    </row>
    <row r="98" spans="8:11">
      <c r="H98" s="1"/>
      <c r="I98" s="1"/>
      <c r="J98" s="1"/>
      <c r="K98" s="1"/>
    </row>
    <row r="99" spans="8:11">
      <c r="H99" s="1"/>
      <c r="I99" s="1"/>
      <c r="J99" s="1"/>
      <c r="K99" s="1"/>
    </row>
    <row r="100" spans="8:11">
      <c r="H100" s="1"/>
      <c r="I100" s="1"/>
      <c r="J100" s="1"/>
      <c r="K100" s="1"/>
    </row>
    <row r="101" spans="8:11">
      <c r="H101" s="1"/>
      <c r="I101" s="1"/>
      <c r="J101" s="1"/>
      <c r="K101" s="1"/>
    </row>
    <row r="102" spans="8:11">
      <c r="H102" s="1"/>
      <c r="I102" s="1"/>
      <c r="J102" s="1"/>
      <c r="K102" s="1"/>
    </row>
    <row r="103" spans="8:11">
      <c r="H103" s="1"/>
      <c r="I103" s="1"/>
      <c r="J103" s="1"/>
      <c r="K103" s="1"/>
    </row>
    <row r="104" spans="8:11">
      <c r="H104" s="1"/>
      <c r="I104" s="1"/>
      <c r="J104" s="1"/>
      <c r="K104" s="1"/>
    </row>
    <row r="105" spans="8:11">
      <c r="H105" s="1"/>
      <c r="I105" s="1"/>
      <c r="J105" s="1"/>
      <c r="K105" s="1"/>
    </row>
    <row r="106" spans="8:11">
      <c r="H106" s="1"/>
      <c r="I106" s="1"/>
      <c r="J106" s="1"/>
      <c r="K106" s="1"/>
    </row>
    <row r="107" spans="8:11">
      <c r="H107" s="1"/>
      <c r="I107" s="1"/>
      <c r="J107" s="1"/>
      <c r="K107" s="1"/>
    </row>
    <row r="108" spans="8:11">
      <c r="H108" s="1"/>
      <c r="I108" s="1"/>
      <c r="J108" s="1"/>
      <c r="K108" s="1"/>
    </row>
    <row r="109" spans="8:11">
      <c r="H109" s="1"/>
      <c r="I109" s="1"/>
      <c r="J109" s="1"/>
      <c r="K109" s="1"/>
    </row>
    <row r="110" spans="8:11">
      <c r="H110" s="1"/>
      <c r="I110" s="1"/>
      <c r="J110" s="1"/>
      <c r="K110" s="1"/>
    </row>
    <row r="111" spans="8:11">
      <c r="H111" s="1"/>
      <c r="I111" s="1"/>
      <c r="J111" s="1"/>
      <c r="K111" s="1"/>
    </row>
    <row r="112" spans="8:11">
      <c r="H112" s="1"/>
      <c r="I112" s="1"/>
      <c r="J112" s="1"/>
      <c r="K112" s="1"/>
    </row>
    <row r="113" spans="8:11">
      <c r="H113" s="1"/>
      <c r="I113" s="1"/>
      <c r="J113" s="1"/>
      <c r="K113" s="1"/>
    </row>
    <row r="114" spans="8:11">
      <c r="H114" s="1"/>
      <c r="I114" s="1"/>
      <c r="J114" s="1"/>
      <c r="K114" s="1"/>
    </row>
    <row r="115" spans="8:11">
      <c r="H115" s="1"/>
      <c r="I115" s="1"/>
      <c r="J115" s="1"/>
      <c r="K115" s="1"/>
    </row>
    <row r="116" spans="8:11">
      <c r="H116" s="1"/>
      <c r="I116" s="1"/>
      <c r="J116" s="1"/>
      <c r="K116" s="1"/>
    </row>
    <row r="117" spans="8:11">
      <c r="H117" s="1"/>
      <c r="I117" s="1"/>
      <c r="J117" s="1"/>
      <c r="K117" s="1"/>
    </row>
    <row r="118" spans="8:11">
      <c r="H118" s="1"/>
      <c r="I118" s="1"/>
      <c r="J118" s="1"/>
      <c r="K118" s="1"/>
    </row>
    <row r="119" spans="8:11">
      <c r="H119" s="1"/>
      <c r="I119" s="1"/>
      <c r="J119" s="1"/>
      <c r="K119" s="1"/>
    </row>
    <row r="120" spans="8:11">
      <c r="H120" s="1"/>
      <c r="I120" s="1"/>
      <c r="J120" s="1"/>
      <c r="K120" s="1"/>
    </row>
    <row r="121" spans="8:11">
      <c r="H121" s="1"/>
      <c r="I121" s="1"/>
      <c r="J121" s="1"/>
      <c r="K121" s="1"/>
    </row>
    <row r="122" spans="8:11">
      <c r="H122" s="1"/>
      <c r="I122" s="1"/>
      <c r="J122" s="1"/>
      <c r="K122" s="1"/>
    </row>
    <row r="123" spans="8:11">
      <c r="H123" s="1"/>
      <c r="I123" s="1"/>
      <c r="J123" s="1"/>
      <c r="K123" s="1"/>
    </row>
    <row r="124" spans="8:11">
      <c r="H124" s="1"/>
      <c r="I124" s="1"/>
      <c r="J124" s="1"/>
      <c r="K124" s="1"/>
    </row>
    <row r="125" spans="8:11">
      <c r="H125" s="1"/>
      <c r="I125" s="1"/>
      <c r="J125" s="1"/>
      <c r="K125" s="1"/>
    </row>
    <row r="126" spans="8:11">
      <c r="H126" s="1"/>
      <c r="I126" s="1"/>
      <c r="J126" s="1"/>
      <c r="K126" s="1"/>
    </row>
    <row r="127" spans="8:11">
      <c r="H127" s="1"/>
      <c r="I127" s="1"/>
      <c r="J127" s="1"/>
      <c r="K1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B8C2-2730-4B1E-AB35-122D16B0C3B3}">
  <dimension ref="B2:J161"/>
  <sheetViews>
    <sheetView workbookViewId="0">
      <selection activeCell="M17" sqref="M17"/>
    </sheetView>
  </sheetViews>
  <sheetFormatPr defaultRowHeight="15"/>
  <cols>
    <col min="2" max="2" width="22" bestFit="1" customWidth="1"/>
    <col min="3" max="3" width="0" hidden="1" customWidth="1"/>
    <col min="4" max="4" width="43.42578125" bestFit="1" customWidth="1"/>
    <col min="5" max="5" width="16.85546875" hidden="1" customWidth="1"/>
    <col min="6" max="6" width="20.42578125" bestFit="1" customWidth="1"/>
    <col min="7" max="7" width="0" hidden="1" customWidth="1"/>
  </cols>
  <sheetData>
    <row r="2" spans="2:10">
      <c r="B2" s="1" t="s">
        <v>3</v>
      </c>
      <c r="C2" s="1" t="s">
        <v>157</v>
      </c>
      <c r="D2" s="1" t="s">
        <v>158</v>
      </c>
      <c r="E2" s="1" t="s">
        <v>159</v>
      </c>
      <c r="F2" s="1" t="s">
        <v>160</v>
      </c>
      <c r="G2" s="1" t="s">
        <v>161</v>
      </c>
    </row>
    <row r="3" spans="2:10">
      <c r="B3" s="1" t="s">
        <v>162</v>
      </c>
      <c r="C3" s="1">
        <v>0</v>
      </c>
      <c r="D3" s="1" t="s">
        <v>163</v>
      </c>
      <c r="E3" s="1" t="s">
        <v>164</v>
      </c>
      <c r="F3" s="1" t="s">
        <v>165</v>
      </c>
      <c r="G3" s="1">
        <v>700</v>
      </c>
      <c r="J3" t="s">
        <v>166</v>
      </c>
    </row>
    <row r="4" spans="2:10">
      <c r="B4" s="1" t="s">
        <v>167</v>
      </c>
      <c r="C4" s="1">
        <v>0</v>
      </c>
      <c r="D4" s="1" t="s">
        <v>163</v>
      </c>
      <c r="E4" s="1" t="s">
        <v>164</v>
      </c>
      <c r="F4" s="1" t="s">
        <v>165</v>
      </c>
      <c r="G4" s="1">
        <v>700</v>
      </c>
      <c r="J4" t="s">
        <v>168</v>
      </c>
    </row>
    <row r="5" spans="2:10">
      <c r="B5" s="1" t="s">
        <v>169</v>
      </c>
      <c r="C5" s="1">
        <v>0</v>
      </c>
      <c r="D5" s="1" t="s">
        <v>163</v>
      </c>
      <c r="E5" s="1" t="s">
        <v>164</v>
      </c>
      <c r="F5" s="1" t="s">
        <v>165</v>
      </c>
      <c r="G5" s="1">
        <v>700</v>
      </c>
      <c r="J5" t="s">
        <v>170</v>
      </c>
    </row>
    <row r="6" spans="2:10">
      <c r="B6" s="1" t="s">
        <v>171</v>
      </c>
      <c r="C6" s="1">
        <v>0</v>
      </c>
      <c r="D6" s="1" t="s">
        <v>163</v>
      </c>
      <c r="E6" s="1" t="s">
        <v>164</v>
      </c>
      <c r="F6" s="1" t="s">
        <v>165</v>
      </c>
      <c r="G6" s="1">
        <v>700</v>
      </c>
    </row>
    <row r="7" spans="2:10">
      <c r="B7" s="1" t="s">
        <v>172</v>
      </c>
      <c r="C7" s="1">
        <v>0</v>
      </c>
      <c r="D7" s="1" t="s">
        <v>163</v>
      </c>
      <c r="E7" s="1" t="s">
        <v>164</v>
      </c>
      <c r="F7" s="1" t="s">
        <v>165</v>
      </c>
      <c r="G7" s="1">
        <v>700</v>
      </c>
    </row>
    <row r="8" spans="2:10">
      <c r="B8" s="1" t="s">
        <v>173</v>
      </c>
      <c r="C8" s="1">
        <v>0</v>
      </c>
      <c r="D8" s="1" t="s">
        <v>163</v>
      </c>
      <c r="E8" s="1" t="s">
        <v>164</v>
      </c>
      <c r="F8" s="1" t="s">
        <v>165</v>
      </c>
      <c r="G8" s="1">
        <v>700</v>
      </c>
    </row>
    <row r="9" spans="2:10">
      <c r="B9" s="1" t="s">
        <v>174</v>
      </c>
      <c r="C9" s="1">
        <v>0</v>
      </c>
      <c r="D9" s="1" t="s">
        <v>163</v>
      </c>
      <c r="E9" s="1" t="s">
        <v>164</v>
      </c>
      <c r="F9" s="1" t="s">
        <v>165</v>
      </c>
      <c r="G9" s="1">
        <v>700</v>
      </c>
    </row>
    <row r="10" spans="2:10">
      <c r="B10" s="1" t="s">
        <v>175</v>
      </c>
      <c r="C10" s="1">
        <v>0</v>
      </c>
      <c r="D10" s="1" t="s">
        <v>163</v>
      </c>
      <c r="E10" s="1" t="s">
        <v>164</v>
      </c>
      <c r="F10" s="1" t="s">
        <v>165</v>
      </c>
      <c r="G10" s="1">
        <v>700</v>
      </c>
    </row>
    <row r="11" spans="2:10">
      <c r="B11" s="1" t="s">
        <v>176</v>
      </c>
      <c r="C11" s="1">
        <v>0</v>
      </c>
      <c r="D11" s="1" t="s">
        <v>163</v>
      </c>
      <c r="E11" s="1" t="s">
        <v>164</v>
      </c>
      <c r="F11" s="1" t="s">
        <v>165</v>
      </c>
      <c r="G11" s="1">
        <v>700</v>
      </c>
    </row>
    <row r="12" spans="2:10">
      <c r="B12" s="1" t="s">
        <v>177</v>
      </c>
      <c r="C12" s="1">
        <v>0</v>
      </c>
      <c r="D12" s="1" t="s">
        <v>163</v>
      </c>
      <c r="E12" s="1" t="s">
        <v>164</v>
      </c>
      <c r="F12" s="1" t="s">
        <v>165</v>
      </c>
      <c r="G12" s="1">
        <v>700</v>
      </c>
    </row>
    <row r="13" spans="2:10">
      <c r="B13" s="1" t="s">
        <v>178</v>
      </c>
      <c r="C13" s="1">
        <v>0</v>
      </c>
      <c r="D13" s="1" t="s">
        <v>163</v>
      </c>
      <c r="E13" s="1" t="s">
        <v>164</v>
      </c>
      <c r="F13" s="1" t="s">
        <v>165</v>
      </c>
      <c r="G13" s="1">
        <v>700</v>
      </c>
    </row>
    <row r="14" spans="2:10">
      <c r="B14" s="1" t="s">
        <v>179</v>
      </c>
      <c r="C14" s="1">
        <v>0</v>
      </c>
      <c r="D14" s="1" t="s">
        <v>163</v>
      </c>
      <c r="E14" s="1" t="s">
        <v>164</v>
      </c>
      <c r="F14" s="1" t="s">
        <v>165</v>
      </c>
      <c r="G14" s="1">
        <v>700</v>
      </c>
    </row>
    <row r="15" spans="2:10">
      <c r="B15" s="1" t="s">
        <v>180</v>
      </c>
      <c r="C15" s="1">
        <v>0</v>
      </c>
      <c r="D15" s="1" t="s">
        <v>163</v>
      </c>
      <c r="E15" s="1" t="s">
        <v>164</v>
      </c>
      <c r="F15" s="1" t="s">
        <v>165</v>
      </c>
      <c r="G15" s="1">
        <v>700</v>
      </c>
    </row>
    <row r="16" spans="2:10">
      <c r="B16" s="1" t="s">
        <v>181</v>
      </c>
      <c r="C16" s="1">
        <v>0</v>
      </c>
      <c r="D16" s="1" t="s">
        <v>163</v>
      </c>
      <c r="E16" s="1" t="s">
        <v>164</v>
      </c>
      <c r="F16" s="1" t="s">
        <v>165</v>
      </c>
      <c r="G16" s="1">
        <v>700</v>
      </c>
    </row>
    <row r="17" spans="2:7">
      <c r="B17" s="1" t="s">
        <v>182</v>
      </c>
      <c r="C17" s="1">
        <v>0</v>
      </c>
      <c r="D17" s="1" t="s">
        <v>163</v>
      </c>
      <c r="E17" s="1" t="s">
        <v>164</v>
      </c>
      <c r="F17" s="1" t="s">
        <v>165</v>
      </c>
      <c r="G17" s="1">
        <v>700</v>
      </c>
    </row>
    <row r="18" spans="2:7">
      <c r="B18" s="1" t="s">
        <v>162</v>
      </c>
      <c r="C18" s="1">
        <v>1</v>
      </c>
      <c r="D18" s="1" t="s">
        <v>183</v>
      </c>
      <c r="E18" s="1" t="s">
        <v>164</v>
      </c>
      <c r="F18" s="1" t="s">
        <v>184</v>
      </c>
      <c r="G18" s="1">
        <v>700</v>
      </c>
    </row>
    <row r="19" spans="2:7">
      <c r="B19" s="1" t="s">
        <v>167</v>
      </c>
      <c r="C19" s="1">
        <v>1</v>
      </c>
      <c r="D19" s="1" t="s">
        <v>183</v>
      </c>
      <c r="E19" s="1" t="s">
        <v>164</v>
      </c>
      <c r="F19" s="1" t="s">
        <v>184</v>
      </c>
      <c r="G19" s="1">
        <v>700</v>
      </c>
    </row>
    <row r="20" spans="2:7">
      <c r="B20" s="1" t="s">
        <v>169</v>
      </c>
      <c r="C20" s="1">
        <v>1</v>
      </c>
      <c r="D20" s="1" t="s">
        <v>183</v>
      </c>
      <c r="E20" s="1" t="s">
        <v>164</v>
      </c>
      <c r="F20" s="1" t="s">
        <v>184</v>
      </c>
      <c r="G20" s="1">
        <v>700</v>
      </c>
    </row>
    <row r="21" spans="2:7">
      <c r="B21" s="1" t="s">
        <v>171</v>
      </c>
      <c r="C21" s="1">
        <v>1</v>
      </c>
      <c r="D21" s="1" t="s">
        <v>183</v>
      </c>
      <c r="E21" s="1" t="s">
        <v>164</v>
      </c>
      <c r="F21" s="1" t="s">
        <v>184</v>
      </c>
      <c r="G21" s="1">
        <v>700</v>
      </c>
    </row>
    <row r="22" spans="2:7">
      <c r="B22" s="1" t="s">
        <v>172</v>
      </c>
      <c r="C22" s="1">
        <v>1</v>
      </c>
      <c r="D22" s="1" t="s">
        <v>183</v>
      </c>
      <c r="E22" s="1" t="s">
        <v>164</v>
      </c>
      <c r="F22" s="1" t="s">
        <v>184</v>
      </c>
      <c r="G22" s="1">
        <v>700</v>
      </c>
    </row>
    <row r="23" spans="2:7">
      <c r="B23" s="1" t="s">
        <v>173</v>
      </c>
      <c r="C23" s="1">
        <v>1</v>
      </c>
      <c r="D23" s="1" t="s">
        <v>183</v>
      </c>
      <c r="E23" s="1" t="s">
        <v>164</v>
      </c>
      <c r="F23" s="1" t="s">
        <v>184</v>
      </c>
      <c r="G23" s="1">
        <v>700</v>
      </c>
    </row>
    <row r="24" spans="2:7">
      <c r="B24" s="1" t="s">
        <v>174</v>
      </c>
      <c r="C24" s="1">
        <v>1</v>
      </c>
      <c r="D24" s="1" t="s">
        <v>183</v>
      </c>
      <c r="E24" s="1" t="s">
        <v>164</v>
      </c>
      <c r="F24" s="1" t="s">
        <v>184</v>
      </c>
      <c r="G24" s="1">
        <v>700</v>
      </c>
    </row>
    <row r="25" spans="2:7">
      <c r="B25" s="1" t="s">
        <v>175</v>
      </c>
      <c r="C25" s="1">
        <v>1</v>
      </c>
      <c r="D25" s="1" t="s">
        <v>183</v>
      </c>
      <c r="E25" s="1" t="s">
        <v>164</v>
      </c>
      <c r="F25" s="1" t="s">
        <v>184</v>
      </c>
      <c r="G25" s="1">
        <v>700</v>
      </c>
    </row>
    <row r="26" spans="2:7">
      <c r="B26" s="1" t="s">
        <v>176</v>
      </c>
      <c r="C26" s="1">
        <v>1</v>
      </c>
      <c r="D26" s="1" t="s">
        <v>183</v>
      </c>
      <c r="E26" s="1" t="s">
        <v>164</v>
      </c>
      <c r="F26" s="1" t="s">
        <v>184</v>
      </c>
      <c r="G26" s="1">
        <v>700</v>
      </c>
    </row>
    <row r="27" spans="2:7">
      <c r="B27" s="1" t="s">
        <v>177</v>
      </c>
      <c r="C27" s="1">
        <v>1</v>
      </c>
      <c r="D27" s="1" t="s">
        <v>183</v>
      </c>
      <c r="E27" s="1" t="s">
        <v>164</v>
      </c>
      <c r="F27" s="1" t="s">
        <v>184</v>
      </c>
      <c r="G27" s="1">
        <v>700</v>
      </c>
    </row>
    <row r="28" spans="2:7">
      <c r="B28" s="1" t="s">
        <v>178</v>
      </c>
      <c r="C28" s="1">
        <v>1</v>
      </c>
      <c r="D28" s="1" t="s">
        <v>183</v>
      </c>
      <c r="E28" s="1" t="s">
        <v>164</v>
      </c>
      <c r="F28" s="1" t="s">
        <v>184</v>
      </c>
      <c r="G28" s="1">
        <v>700</v>
      </c>
    </row>
    <row r="29" spans="2:7">
      <c r="B29" s="1" t="s">
        <v>179</v>
      </c>
      <c r="C29" s="1">
        <v>1</v>
      </c>
      <c r="D29" s="1" t="s">
        <v>183</v>
      </c>
      <c r="E29" s="1" t="s">
        <v>164</v>
      </c>
      <c r="F29" s="1" t="s">
        <v>184</v>
      </c>
      <c r="G29" s="1">
        <v>700</v>
      </c>
    </row>
    <row r="30" spans="2:7">
      <c r="B30" s="1" t="s">
        <v>180</v>
      </c>
      <c r="C30" s="1">
        <v>1</v>
      </c>
      <c r="D30" s="1" t="s">
        <v>183</v>
      </c>
      <c r="E30" s="1" t="s">
        <v>164</v>
      </c>
      <c r="F30" s="1" t="s">
        <v>184</v>
      </c>
      <c r="G30" s="1">
        <v>700</v>
      </c>
    </row>
    <row r="31" spans="2:7">
      <c r="B31" s="1" t="s">
        <v>181</v>
      </c>
      <c r="C31" s="1">
        <v>1</v>
      </c>
      <c r="D31" s="1" t="s">
        <v>183</v>
      </c>
      <c r="E31" s="1" t="s">
        <v>164</v>
      </c>
      <c r="F31" s="1" t="s">
        <v>184</v>
      </c>
      <c r="G31" s="1">
        <v>700</v>
      </c>
    </row>
    <row r="32" spans="2:7">
      <c r="B32" s="1" t="s">
        <v>182</v>
      </c>
      <c r="C32" s="1">
        <v>1</v>
      </c>
      <c r="D32" s="1" t="s">
        <v>183</v>
      </c>
      <c r="E32" s="1" t="s">
        <v>164</v>
      </c>
      <c r="F32" s="1" t="s">
        <v>184</v>
      </c>
      <c r="G32" s="1">
        <v>700</v>
      </c>
    </row>
    <row r="33" spans="2:7">
      <c r="B33" s="1" t="s">
        <v>162</v>
      </c>
      <c r="C33" s="1">
        <v>2</v>
      </c>
      <c r="D33" s="1" t="s">
        <v>185</v>
      </c>
      <c r="E33" s="1" t="s">
        <v>164</v>
      </c>
      <c r="F33" s="1" t="s">
        <v>186</v>
      </c>
      <c r="G33" s="1">
        <v>700</v>
      </c>
    </row>
    <row r="34" spans="2:7">
      <c r="B34" s="1" t="s">
        <v>167</v>
      </c>
      <c r="C34" s="1">
        <v>2</v>
      </c>
      <c r="D34" s="1" t="s">
        <v>185</v>
      </c>
      <c r="E34" s="1" t="s">
        <v>164</v>
      </c>
      <c r="F34" s="1" t="s">
        <v>186</v>
      </c>
      <c r="G34" s="1">
        <v>700</v>
      </c>
    </row>
    <row r="35" spans="2:7">
      <c r="B35" s="1" t="s">
        <v>169</v>
      </c>
      <c r="C35" s="1">
        <v>2</v>
      </c>
      <c r="D35" s="1" t="s">
        <v>185</v>
      </c>
      <c r="E35" s="1" t="s">
        <v>164</v>
      </c>
      <c r="F35" s="1" t="s">
        <v>186</v>
      </c>
      <c r="G35" s="1">
        <v>700</v>
      </c>
    </row>
    <row r="36" spans="2:7">
      <c r="B36" s="1" t="s">
        <v>171</v>
      </c>
      <c r="C36" s="1">
        <v>2</v>
      </c>
      <c r="D36" s="1" t="s">
        <v>185</v>
      </c>
      <c r="E36" s="1" t="s">
        <v>164</v>
      </c>
      <c r="F36" s="1" t="s">
        <v>186</v>
      </c>
      <c r="G36" s="1">
        <v>700</v>
      </c>
    </row>
    <row r="37" spans="2:7">
      <c r="B37" s="1" t="s">
        <v>172</v>
      </c>
      <c r="C37" s="1">
        <v>2</v>
      </c>
      <c r="D37" s="1" t="s">
        <v>185</v>
      </c>
      <c r="E37" s="1" t="s">
        <v>164</v>
      </c>
      <c r="F37" s="1" t="s">
        <v>186</v>
      </c>
      <c r="G37" s="1">
        <v>700</v>
      </c>
    </row>
    <row r="38" spans="2:7">
      <c r="B38" s="1" t="s">
        <v>173</v>
      </c>
      <c r="C38" s="1">
        <v>2</v>
      </c>
      <c r="D38" s="1" t="s">
        <v>185</v>
      </c>
      <c r="E38" s="1" t="s">
        <v>164</v>
      </c>
      <c r="F38" s="1" t="s">
        <v>186</v>
      </c>
      <c r="G38" s="1">
        <v>700</v>
      </c>
    </row>
    <row r="39" spans="2:7">
      <c r="B39" s="1" t="s">
        <v>174</v>
      </c>
      <c r="C39" s="1">
        <v>2</v>
      </c>
      <c r="D39" s="1" t="s">
        <v>185</v>
      </c>
      <c r="E39" s="1" t="s">
        <v>164</v>
      </c>
      <c r="F39" s="1" t="s">
        <v>186</v>
      </c>
      <c r="G39" s="1">
        <v>700</v>
      </c>
    </row>
    <row r="40" spans="2:7">
      <c r="B40" s="1" t="s">
        <v>175</v>
      </c>
      <c r="C40" s="1">
        <v>2</v>
      </c>
      <c r="D40" s="1" t="s">
        <v>185</v>
      </c>
      <c r="E40" s="1" t="s">
        <v>164</v>
      </c>
      <c r="F40" s="1" t="s">
        <v>186</v>
      </c>
      <c r="G40" s="1">
        <v>700</v>
      </c>
    </row>
    <row r="41" spans="2:7">
      <c r="B41" s="1" t="s">
        <v>176</v>
      </c>
      <c r="C41" s="1">
        <v>2</v>
      </c>
      <c r="D41" s="1" t="s">
        <v>185</v>
      </c>
      <c r="E41" s="1" t="s">
        <v>164</v>
      </c>
      <c r="F41" s="1" t="s">
        <v>186</v>
      </c>
      <c r="G41" s="1">
        <v>700</v>
      </c>
    </row>
    <row r="42" spans="2:7">
      <c r="B42" s="1" t="s">
        <v>177</v>
      </c>
      <c r="C42" s="1">
        <v>2</v>
      </c>
      <c r="D42" s="1" t="s">
        <v>185</v>
      </c>
      <c r="E42" s="1" t="s">
        <v>164</v>
      </c>
      <c r="F42" s="1" t="s">
        <v>186</v>
      </c>
      <c r="G42" s="1">
        <v>700</v>
      </c>
    </row>
    <row r="43" spans="2:7">
      <c r="B43" s="1" t="s">
        <v>178</v>
      </c>
      <c r="C43" s="1">
        <v>2</v>
      </c>
      <c r="D43" s="1" t="s">
        <v>185</v>
      </c>
      <c r="E43" s="1" t="s">
        <v>164</v>
      </c>
      <c r="F43" s="1" t="s">
        <v>186</v>
      </c>
      <c r="G43" s="1">
        <v>700</v>
      </c>
    </row>
    <row r="44" spans="2:7">
      <c r="B44" s="1" t="s">
        <v>179</v>
      </c>
      <c r="C44" s="1">
        <v>2</v>
      </c>
      <c r="D44" s="1" t="s">
        <v>185</v>
      </c>
      <c r="E44" s="1" t="s">
        <v>164</v>
      </c>
      <c r="F44" s="1" t="s">
        <v>186</v>
      </c>
      <c r="G44" s="1">
        <v>700</v>
      </c>
    </row>
    <row r="45" spans="2:7">
      <c r="B45" s="1" t="s">
        <v>180</v>
      </c>
      <c r="C45" s="1">
        <v>2</v>
      </c>
      <c r="D45" s="1" t="s">
        <v>185</v>
      </c>
      <c r="E45" s="1" t="s">
        <v>164</v>
      </c>
      <c r="F45" s="1" t="s">
        <v>186</v>
      </c>
      <c r="G45" s="1">
        <v>700</v>
      </c>
    </row>
    <row r="46" spans="2:7">
      <c r="B46" s="1" t="s">
        <v>181</v>
      </c>
      <c r="C46" s="1">
        <v>2</v>
      </c>
      <c r="D46" s="1" t="s">
        <v>185</v>
      </c>
      <c r="E46" s="1" t="s">
        <v>164</v>
      </c>
      <c r="F46" s="1" t="s">
        <v>186</v>
      </c>
      <c r="G46" s="1">
        <v>700</v>
      </c>
    </row>
    <row r="47" spans="2:7">
      <c r="B47" s="1" t="s">
        <v>182</v>
      </c>
      <c r="C47" s="1">
        <v>2</v>
      </c>
      <c r="D47" s="1" t="s">
        <v>185</v>
      </c>
      <c r="E47" s="1" t="s">
        <v>164</v>
      </c>
      <c r="F47" s="1" t="s">
        <v>186</v>
      </c>
      <c r="G47" s="1">
        <v>700</v>
      </c>
    </row>
    <row r="48" spans="2:7">
      <c r="B48" s="1" t="s">
        <v>187</v>
      </c>
      <c r="C48" s="1">
        <v>3</v>
      </c>
      <c r="D48" s="1" t="s">
        <v>163</v>
      </c>
      <c r="E48" s="1" t="s">
        <v>188</v>
      </c>
      <c r="F48" s="1" t="s">
        <v>189</v>
      </c>
      <c r="G48" s="1">
        <v>900</v>
      </c>
    </row>
    <row r="49" spans="2:7">
      <c r="B49" s="1" t="s">
        <v>190</v>
      </c>
      <c r="C49" s="1">
        <v>3</v>
      </c>
      <c r="D49" s="1" t="s">
        <v>163</v>
      </c>
      <c r="E49" s="1" t="s">
        <v>188</v>
      </c>
      <c r="F49" s="1" t="s">
        <v>189</v>
      </c>
      <c r="G49" s="1">
        <v>900</v>
      </c>
    </row>
    <row r="50" spans="2:7">
      <c r="B50" s="1" t="s">
        <v>191</v>
      </c>
      <c r="C50" s="1">
        <v>3</v>
      </c>
      <c r="D50" s="1" t="s">
        <v>163</v>
      </c>
      <c r="E50" s="1" t="s">
        <v>188</v>
      </c>
      <c r="F50" s="1" t="s">
        <v>189</v>
      </c>
      <c r="G50" s="1">
        <v>900</v>
      </c>
    </row>
    <row r="51" spans="2:7">
      <c r="B51" s="1" t="s">
        <v>192</v>
      </c>
      <c r="C51" s="1">
        <v>3</v>
      </c>
      <c r="D51" s="1" t="s">
        <v>163</v>
      </c>
      <c r="E51" s="1" t="s">
        <v>188</v>
      </c>
      <c r="F51" s="1" t="s">
        <v>189</v>
      </c>
      <c r="G51" s="1">
        <v>900</v>
      </c>
    </row>
    <row r="52" spans="2:7">
      <c r="B52" s="1" t="s">
        <v>193</v>
      </c>
      <c r="C52" s="1">
        <v>3</v>
      </c>
      <c r="D52" s="1" t="s">
        <v>163</v>
      </c>
      <c r="E52" s="1" t="s">
        <v>188</v>
      </c>
      <c r="F52" s="1" t="s">
        <v>189</v>
      </c>
      <c r="G52" s="1">
        <v>900</v>
      </c>
    </row>
    <row r="53" spans="2:7">
      <c r="B53" s="1" t="s">
        <v>194</v>
      </c>
      <c r="C53" s="1">
        <v>3</v>
      </c>
      <c r="D53" s="1" t="s">
        <v>163</v>
      </c>
      <c r="E53" s="1" t="s">
        <v>188</v>
      </c>
      <c r="F53" s="1" t="s">
        <v>189</v>
      </c>
      <c r="G53" s="1">
        <v>900</v>
      </c>
    </row>
    <row r="54" spans="2:7">
      <c r="B54" s="1" t="s">
        <v>195</v>
      </c>
      <c r="C54" s="1">
        <v>3</v>
      </c>
      <c r="D54" s="1" t="s">
        <v>163</v>
      </c>
      <c r="E54" s="1" t="s">
        <v>188</v>
      </c>
      <c r="F54" s="1" t="s">
        <v>189</v>
      </c>
      <c r="G54" s="1">
        <v>900</v>
      </c>
    </row>
    <row r="55" spans="2:7">
      <c r="B55" s="1" t="s">
        <v>196</v>
      </c>
      <c r="C55" s="1">
        <v>3</v>
      </c>
      <c r="D55" s="1" t="s">
        <v>163</v>
      </c>
      <c r="E55" s="1" t="s">
        <v>188</v>
      </c>
      <c r="F55" s="1" t="s">
        <v>189</v>
      </c>
      <c r="G55" s="1">
        <v>900</v>
      </c>
    </row>
    <row r="56" spans="2:7">
      <c r="B56" s="1" t="s">
        <v>197</v>
      </c>
      <c r="C56" s="1">
        <v>3</v>
      </c>
      <c r="D56" s="1" t="s">
        <v>163</v>
      </c>
      <c r="E56" s="1" t="s">
        <v>188</v>
      </c>
      <c r="F56" s="1" t="s">
        <v>189</v>
      </c>
      <c r="G56" s="1">
        <v>900</v>
      </c>
    </row>
    <row r="57" spans="2:7">
      <c r="B57" s="1" t="s">
        <v>198</v>
      </c>
      <c r="C57" s="1">
        <v>3</v>
      </c>
      <c r="D57" s="1" t="s">
        <v>163</v>
      </c>
      <c r="E57" s="1" t="s">
        <v>188</v>
      </c>
      <c r="F57" s="1" t="s">
        <v>189</v>
      </c>
      <c r="G57" s="1">
        <v>900</v>
      </c>
    </row>
    <row r="58" spans="2:7">
      <c r="B58" s="1" t="s">
        <v>199</v>
      </c>
      <c r="C58" s="1">
        <v>3</v>
      </c>
      <c r="D58" s="1" t="s">
        <v>163</v>
      </c>
      <c r="E58" s="1" t="s">
        <v>188</v>
      </c>
      <c r="F58" s="1" t="s">
        <v>189</v>
      </c>
      <c r="G58" s="1">
        <v>900</v>
      </c>
    </row>
    <row r="59" spans="2:7">
      <c r="B59" s="1" t="s">
        <v>200</v>
      </c>
      <c r="C59" s="1">
        <v>3</v>
      </c>
      <c r="D59" s="1" t="s">
        <v>163</v>
      </c>
      <c r="E59" s="1" t="s">
        <v>188</v>
      </c>
      <c r="F59" s="1" t="s">
        <v>189</v>
      </c>
      <c r="G59" s="1">
        <v>900</v>
      </c>
    </row>
    <row r="60" spans="2:7">
      <c r="B60" s="1" t="s">
        <v>201</v>
      </c>
      <c r="C60" s="1">
        <v>3</v>
      </c>
      <c r="D60" s="1" t="s">
        <v>163</v>
      </c>
      <c r="E60" s="1" t="s">
        <v>188</v>
      </c>
      <c r="F60" s="1" t="s">
        <v>189</v>
      </c>
      <c r="G60" s="1">
        <v>900</v>
      </c>
    </row>
    <row r="61" spans="2:7">
      <c r="B61" s="1" t="s">
        <v>202</v>
      </c>
      <c r="C61" s="1">
        <v>3</v>
      </c>
      <c r="D61" s="1" t="s">
        <v>163</v>
      </c>
      <c r="E61" s="1" t="s">
        <v>188</v>
      </c>
      <c r="F61" s="1" t="s">
        <v>189</v>
      </c>
      <c r="G61" s="1">
        <v>900</v>
      </c>
    </row>
    <row r="62" spans="2:7">
      <c r="B62" s="1" t="s">
        <v>203</v>
      </c>
      <c r="C62" s="1">
        <v>3</v>
      </c>
      <c r="D62" s="1" t="s">
        <v>163</v>
      </c>
      <c r="E62" s="1" t="s">
        <v>188</v>
      </c>
      <c r="F62" s="1" t="s">
        <v>189</v>
      </c>
      <c r="G62" s="1">
        <v>900</v>
      </c>
    </row>
    <row r="63" spans="2:7">
      <c r="B63" s="1" t="s">
        <v>204</v>
      </c>
      <c r="C63" s="1">
        <v>3</v>
      </c>
      <c r="D63" s="1" t="s">
        <v>163</v>
      </c>
      <c r="E63" s="1" t="s">
        <v>188</v>
      </c>
      <c r="F63" s="1" t="s">
        <v>189</v>
      </c>
      <c r="G63" s="1">
        <v>900</v>
      </c>
    </row>
    <row r="64" spans="2:7">
      <c r="B64" s="1" t="s">
        <v>205</v>
      </c>
      <c r="C64" s="1">
        <v>3</v>
      </c>
      <c r="D64" s="1" t="s">
        <v>163</v>
      </c>
      <c r="E64" s="1" t="s">
        <v>188</v>
      </c>
      <c r="F64" s="1" t="s">
        <v>189</v>
      </c>
      <c r="G64" s="1">
        <v>900</v>
      </c>
    </row>
    <row r="65" spans="2:7">
      <c r="B65" s="1" t="s">
        <v>206</v>
      </c>
      <c r="C65" s="1">
        <v>3</v>
      </c>
      <c r="D65" s="1" t="s">
        <v>163</v>
      </c>
      <c r="E65" s="1" t="s">
        <v>188</v>
      </c>
      <c r="F65" s="1" t="s">
        <v>189</v>
      </c>
      <c r="G65" s="1">
        <v>900</v>
      </c>
    </row>
    <row r="66" spans="2:7">
      <c r="B66" s="1" t="s">
        <v>187</v>
      </c>
      <c r="C66" s="1">
        <v>4</v>
      </c>
      <c r="D66" s="1" t="s">
        <v>183</v>
      </c>
      <c r="E66" s="1" t="s">
        <v>188</v>
      </c>
      <c r="F66" s="1" t="s">
        <v>207</v>
      </c>
      <c r="G66" s="1">
        <v>900</v>
      </c>
    </row>
    <row r="67" spans="2:7">
      <c r="B67" s="1" t="s">
        <v>190</v>
      </c>
      <c r="C67" s="1">
        <v>4</v>
      </c>
      <c r="D67" s="1" t="s">
        <v>183</v>
      </c>
      <c r="E67" s="1" t="s">
        <v>188</v>
      </c>
      <c r="F67" s="1" t="s">
        <v>207</v>
      </c>
      <c r="G67" s="1">
        <v>900</v>
      </c>
    </row>
    <row r="68" spans="2:7">
      <c r="B68" s="1" t="s">
        <v>191</v>
      </c>
      <c r="C68" s="1">
        <v>4</v>
      </c>
      <c r="D68" s="1" t="s">
        <v>183</v>
      </c>
      <c r="E68" s="1" t="s">
        <v>188</v>
      </c>
      <c r="F68" s="1" t="s">
        <v>207</v>
      </c>
      <c r="G68" s="1">
        <v>900</v>
      </c>
    </row>
    <row r="69" spans="2:7">
      <c r="B69" s="1" t="s">
        <v>192</v>
      </c>
      <c r="C69" s="1">
        <v>4</v>
      </c>
      <c r="D69" s="1" t="s">
        <v>183</v>
      </c>
      <c r="E69" s="1" t="s">
        <v>188</v>
      </c>
      <c r="F69" s="1" t="s">
        <v>207</v>
      </c>
      <c r="G69" s="1">
        <v>900</v>
      </c>
    </row>
    <row r="70" spans="2:7">
      <c r="B70" s="1" t="s">
        <v>193</v>
      </c>
      <c r="C70" s="1">
        <v>4</v>
      </c>
      <c r="D70" s="1" t="s">
        <v>183</v>
      </c>
      <c r="E70" s="1" t="s">
        <v>188</v>
      </c>
      <c r="F70" s="1" t="s">
        <v>207</v>
      </c>
      <c r="G70" s="1">
        <v>900</v>
      </c>
    </row>
    <row r="71" spans="2:7">
      <c r="B71" s="1" t="s">
        <v>194</v>
      </c>
      <c r="C71" s="1">
        <v>4</v>
      </c>
      <c r="D71" s="1" t="s">
        <v>183</v>
      </c>
      <c r="E71" s="1" t="s">
        <v>188</v>
      </c>
      <c r="F71" s="1" t="s">
        <v>207</v>
      </c>
      <c r="G71" s="1">
        <v>900</v>
      </c>
    </row>
    <row r="72" spans="2:7">
      <c r="B72" s="1" t="s">
        <v>195</v>
      </c>
      <c r="C72" s="1">
        <v>4</v>
      </c>
      <c r="D72" s="1" t="s">
        <v>183</v>
      </c>
      <c r="E72" s="1" t="s">
        <v>188</v>
      </c>
      <c r="F72" s="1" t="s">
        <v>207</v>
      </c>
      <c r="G72" s="1">
        <v>900</v>
      </c>
    </row>
    <row r="73" spans="2:7">
      <c r="B73" s="1" t="s">
        <v>196</v>
      </c>
      <c r="C73" s="1">
        <v>4</v>
      </c>
      <c r="D73" s="1" t="s">
        <v>183</v>
      </c>
      <c r="E73" s="1" t="s">
        <v>188</v>
      </c>
      <c r="F73" s="1" t="s">
        <v>207</v>
      </c>
      <c r="G73" s="1">
        <v>900</v>
      </c>
    </row>
    <row r="74" spans="2:7">
      <c r="B74" s="1" t="s">
        <v>197</v>
      </c>
      <c r="C74" s="1">
        <v>4</v>
      </c>
      <c r="D74" s="1" t="s">
        <v>183</v>
      </c>
      <c r="E74" s="1" t="s">
        <v>188</v>
      </c>
      <c r="F74" s="1" t="s">
        <v>207</v>
      </c>
      <c r="G74" s="1">
        <v>900</v>
      </c>
    </row>
    <row r="75" spans="2:7">
      <c r="B75" s="1" t="s">
        <v>198</v>
      </c>
      <c r="C75" s="1">
        <v>4</v>
      </c>
      <c r="D75" s="1" t="s">
        <v>183</v>
      </c>
      <c r="E75" s="1" t="s">
        <v>188</v>
      </c>
      <c r="F75" s="1" t="s">
        <v>207</v>
      </c>
      <c r="G75" s="1">
        <v>900</v>
      </c>
    </row>
    <row r="76" spans="2:7">
      <c r="B76" s="1" t="s">
        <v>199</v>
      </c>
      <c r="C76" s="1">
        <v>4</v>
      </c>
      <c r="D76" s="1" t="s">
        <v>183</v>
      </c>
      <c r="E76" s="1" t="s">
        <v>188</v>
      </c>
      <c r="F76" s="1" t="s">
        <v>207</v>
      </c>
      <c r="G76" s="1">
        <v>900</v>
      </c>
    </row>
    <row r="77" spans="2:7">
      <c r="B77" s="1" t="s">
        <v>200</v>
      </c>
      <c r="C77" s="1">
        <v>4</v>
      </c>
      <c r="D77" s="1" t="s">
        <v>183</v>
      </c>
      <c r="E77" s="1" t="s">
        <v>188</v>
      </c>
      <c r="F77" s="1" t="s">
        <v>207</v>
      </c>
      <c r="G77" s="1">
        <v>900</v>
      </c>
    </row>
    <row r="78" spans="2:7">
      <c r="B78" s="1" t="s">
        <v>201</v>
      </c>
      <c r="C78" s="1">
        <v>4</v>
      </c>
      <c r="D78" s="1" t="s">
        <v>183</v>
      </c>
      <c r="E78" s="1" t="s">
        <v>188</v>
      </c>
      <c r="F78" s="1" t="s">
        <v>207</v>
      </c>
      <c r="G78" s="1">
        <v>900</v>
      </c>
    </row>
    <row r="79" spans="2:7">
      <c r="B79" s="1" t="s">
        <v>202</v>
      </c>
      <c r="C79" s="1">
        <v>4</v>
      </c>
      <c r="D79" s="1" t="s">
        <v>183</v>
      </c>
      <c r="E79" s="1" t="s">
        <v>188</v>
      </c>
      <c r="F79" s="1" t="s">
        <v>207</v>
      </c>
      <c r="G79" s="1">
        <v>900</v>
      </c>
    </row>
    <row r="80" spans="2:7">
      <c r="B80" s="1" t="s">
        <v>203</v>
      </c>
      <c r="C80" s="1">
        <v>4</v>
      </c>
      <c r="D80" s="1" t="s">
        <v>183</v>
      </c>
      <c r="E80" s="1" t="s">
        <v>188</v>
      </c>
      <c r="F80" s="1" t="s">
        <v>207</v>
      </c>
      <c r="G80" s="1">
        <v>900</v>
      </c>
    </row>
    <row r="81" spans="2:7">
      <c r="B81" s="1" t="s">
        <v>204</v>
      </c>
      <c r="C81" s="1">
        <v>4</v>
      </c>
      <c r="D81" s="1" t="s">
        <v>183</v>
      </c>
      <c r="E81" s="1" t="s">
        <v>188</v>
      </c>
      <c r="F81" s="1" t="s">
        <v>207</v>
      </c>
      <c r="G81" s="1">
        <v>900</v>
      </c>
    </row>
    <row r="82" spans="2:7">
      <c r="B82" s="1" t="s">
        <v>205</v>
      </c>
      <c r="C82" s="1">
        <v>4</v>
      </c>
      <c r="D82" s="1" t="s">
        <v>183</v>
      </c>
      <c r="E82" s="1" t="s">
        <v>188</v>
      </c>
      <c r="F82" s="1" t="s">
        <v>207</v>
      </c>
      <c r="G82" s="1">
        <v>900</v>
      </c>
    </row>
    <row r="83" spans="2:7">
      <c r="B83" s="1" t="s">
        <v>206</v>
      </c>
      <c r="C83" s="1">
        <v>4</v>
      </c>
      <c r="D83" s="1" t="s">
        <v>183</v>
      </c>
      <c r="E83" s="1" t="s">
        <v>188</v>
      </c>
      <c r="F83" s="1" t="s">
        <v>207</v>
      </c>
      <c r="G83" s="1">
        <v>900</v>
      </c>
    </row>
    <row r="84" spans="2:7">
      <c r="B84" s="1" t="s">
        <v>187</v>
      </c>
      <c r="C84" s="1">
        <v>5</v>
      </c>
      <c r="D84" s="1" t="s">
        <v>185</v>
      </c>
      <c r="E84" s="1" t="s">
        <v>188</v>
      </c>
      <c r="F84" s="1" t="s">
        <v>186</v>
      </c>
      <c r="G84" s="1">
        <v>900</v>
      </c>
    </row>
    <row r="85" spans="2:7">
      <c r="B85" s="1" t="s">
        <v>190</v>
      </c>
      <c r="C85" s="1">
        <v>5</v>
      </c>
      <c r="D85" s="1" t="s">
        <v>185</v>
      </c>
      <c r="E85" s="1" t="s">
        <v>188</v>
      </c>
      <c r="F85" s="1" t="s">
        <v>186</v>
      </c>
      <c r="G85" s="1">
        <v>900</v>
      </c>
    </row>
    <row r="86" spans="2:7">
      <c r="B86" s="1" t="s">
        <v>191</v>
      </c>
      <c r="C86" s="1">
        <v>5</v>
      </c>
      <c r="D86" s="1" t="s">
        <v>185</v>
      </c>
      <c r="E86" s="1" t="s">
        <v>188</v>
      </c>
      <c r="F86" s="1" t="s">
        <v>186</v>
      </c>
      <c r="G86" s="1">
        <v>900</v>
      </c>
    </row>
    <row r="87" spans="2:7">
      <c r="B87" s="1" t="s">
        <v>192</v>
      </c>
      <c r="C87" s="1">
        <v>5</v>
      </c>
      <c r="D87" s="1" t="s">
        <v>185</v>
      </c>
      <c r="E87" s="1" t="s">
        <v>188</v>
      </c>
      <c r="F87" s="1" t="s">
        <v>186</v>
      </c>
      <c r="G87" s="1">
        <v>900</v>
      </c>
    </row>
    <row r="88" spans="2:7">
      <c r="B88" s="1" t="s">
        <v>193</v>
      </c>
      <c r="C88" s="1">
        <v>5</v>
      </c>
      <c r="D88" s="1" t="s">
        <v>185</v>
      </c>
      <c r="E88" s="1" t="s">
        <v>188</v>
      </c>
      <c r="F88" s="1" t="s">
        <v>186</v>
      </c>
      <c r="G88" s="1">
        <v>900</v>
      </c>
    </row>
    <row r="89" spans="2:7">
      <c r="B89" s="1" t="s">
        <v>194</v>
      </c>
      <c r="C89" s="1">
        <v>5</v>
      </c>
      <c r="D89" s="1" t="s">
        <v>185</v>
      </c>
      <c r="E89" s="1" t="s">
        <v>188</v>
      </c>
      <c r="F89" s="1" t="s">
        <v>186</v>
      </c>
      <c r="G89" s="1">
        <v>900</v>
      </c>
    </row>
    <row r="90" spans="2:7">
      <c r="B90" s="1" t="s">
        <v>195</v>
      </c>
      <c r="C90" s="1">
        <v>5</v>
      </c>
      <c r="D90" s="1" t="s">
        <v>185</v>
      </c>
      <c r="E90" s="1" t="s">
        <v>188</v>
      </c>
      <c r="F90" s="1" t="s">
        <v>186</v>
      </c>
      <c r="G90" s="1">
        <v>900</v>
      </c>
    </row>
    <row r="91" spans="2:7">
      <c r="B91" s="1" t="s">
        <v>196</v>
      </c>
      <c r="C91" s="1">
        <v>5</v>
      </c>
      <c r="D91" s="1" t="s">
        <v>185</v>
      </c>
      <c r="E91" s="1" t="s">
        <v>188</v>
      </c>
      <c r="F91" s="1" t="s">
        <v>186</v>
      </c>
      <c r="G91" s="1">
        <v>900</v>
      </c>
    </row>
    <row r="92" spans="2:7">
      <c r="B92" s="1" t="s">
        <v>197</v>
      </c>
      <c r="C92" s="1">
        <v>5</v>
      </c>
      <c r="D92" s="1" t="s">
        <v>185</v>
      </c>
      <c r="E92" s="1" t="s">
        <v>188</v>
      </c>
      <c r="F92" s="1" t="s">
        <v>186</v>
      </c>
      <c r="G92" s="1">
        <v>900</v>
      </c>
    </row>
    <row r="93" spans="2:7">
      <c r="B93" s="1" t="s">
        <v>198</v>
      </c>
      <c r="C93" s="1">
        <v>5</v>
      </c>
      <c r="D93" s="1" t="s">
        <v>185</v>
      </c>
      <c r="E93" s="1" t="s">
        <v>188</v>
      </c>
      <c r="F93" s="1" t="s">
        <v>186</v>
      </c>
      <c r="G93" s="1">
        <v>900</v>
      </c>
    </row>
    <row r="94" spans="2:7">
      <c r="B94" s="1" t="s">
        <v>199</v>
      </c>
      <c r="C94" s="1">
        <v>5</v>
      </c>
      <c r="D94" s="1" t="s">
        <v>185</v>
      </c>
      <c r="E94" s="1" t="s">
        <v>188</v>
      </c>
      <c r="F94" s="1" t="s">
        <v>186</v>
      </c>
      <c r="G94" s="1">
        <v>900</v>
      </c>
    </row>
    <row r="95" spans="2:7">
      <c r="B95" s="1" t="s">
        <v>200</v>
      </c>
      <c r="C95" s="1">
        <v>5</v>
      </c>
      <c r="D95" s="1" t="s">
        <v>185</v>
      </c>
      <c r="E95" s="1" t="s">
        <v>188</v>
      </c>
      <c r="F95" s="1" t="s">
        <v>186</v>
      </c>
      <c r="G95" s="1">
        <v>900</v>
      </c>
    </row>
    <row r="96" spans="2:7">
      <c r="B96" s="1" t="s">
        <v>201</v>
      </c>
      <c r="C96" s="1">
        <v>5</v>
      </c>
      <c r="D96" s="1" t="s">
        <v>185</v>
      </c>
      <c r="E96" s="1" t="s">
        <v>188</v>
      </c>
      <c r="F96" s="1" t="s">
        <v>186</v>
      </c>
      <c r="G96" s="1">
        <v>900</v>
      </c>
    </row>
    <row r="97" spans="2:7">
      <c r="B97" s="1" t="s">
        <v>202</v>
      </c>
      <c r="C97" s="1">
        <v>5</v>
      </c>
      <c r="D97" s="1" t="s">
        <v>185</v>
      </c>
      <c r="E97" s="1" t="s">
        <v>188</v>
      </c>
      <c r="F97" s="1" t="s">
        <v>186</v>
      </c>
      <c r="G97" s="1">
        <v>900</v>
      </c>
    </row>
    <row r="98" spans="2:7">
      <c r="B98" s="1" t="s">
        <v>203</v>
      </c>
      <c r="C98" s="1">
        <v>5</v>
      </c>
      <c r="D98" s="1" t="s">
        <v>185</v>
      </c>
      <c r="E98" s="1" t="s">
        <v>188</v>
      </c>
      <c r="F98" s="1" t="s">
        <v>186</v>
      </c>
      <c r="G98" s="1">
        <v>900</v>
      </c>
    </row>
    <row r="99" spans="2:7">
      <c r="B99" s="1" t="s">
        <v>204</v>
      </c>
      <c r="C99" s="1">
        <v>5</v>
      </c>
      <c r="D99" s="1" t="s">
        <v>185</v>
      </c>
      <c r="E99" s="1" t="s">
        <v>188</v>
      </c>
      <c r="F99" s="1" t="s">
        <v>186</v>
      </c>
      <c r="G99" s="1">
        <v>900</v>
      </c>
    </row>
    <row r="100" spans="2:7">
      <c r="B100" s="1" t="s">
        <v>205</v>
      </c>
      <c r="C100" s="1">
        <v>5</v>
      </c>
      <c r="D100" s="1" t="s">
        <v>185</v>
      </c>
      <c r="E100" s="1" t="s">
        <v>188</v>
      </c>
      <c r="F100" s="1" t="s">
        <v>186</v>
      </c>
      <c r="G100" s="1">
        <v>900</v>
      </c>
    </row>
    <row r="101" spans="2:7">
      <c r="B101" s="1" t="s">
        <v>206</v>
      </c>
      <c r="C101" s="1">
        <v>5</v>
      </c>
      <c r="D101" s="1" t="s">
        <v>185</v>
      </c>
      <c r="E101" s="1" t="s">
        <v>188</v>
      </c>
      <c r="F101" s="1" t="s">
        <v>186</v>
      </c>
      <c r="G101" s="1">
        <v>900</v>
      </c>
    </row>
    <row r="102" spans="2:7">
      <c r="B102" s="1" t="s">
        <v>208</v>
      </c>
      <c r="C102" s="1">
        <v>6</v>
      </c>
      <c r="D102" s="1" t="s">
        <v>163</v>
      </c>
      <c r="E102" s="1" t="s">
        <v>188</v>
      </c>
      <c r="F102" s="1" t="s">
        <v>189</v>
      </c>
      <c r="G102" s="1">
        <v>1000</v>
      </c>
    </row>
    <row r="103" spans="2:7">
      <c r="B103" s="1" t="s">
        <v>209</v>
      </c>
      <c r="C103" s="1">
        <v>6</v>
      </c>
      <c r="D103" s="1" t="s">
        <v>163</v>
      </c>
      <c r="E103" s="1" t="s">
        <v>188</v>
      </c>
      <c r="F103" s="1" t="s">
        <v>189</v>
      </c>
      <c r="G103" s="1">
        <v>1000</v>
      </c>
    </row>
    <row r="104" spans="2:7">
      <c r="B104" s="1" t="s">
        <v>210</v>
      </c>
      <c r="C104" s="1">
        <v>6</v>
      </c>
      <c r="D104" s="1" t="s">
        <v>163</v>
      </c>
      <c r="E104" s="1" t="s">
        <v>188</v>
      </c>
      <c r="F104" s="1" t="s">
        <v>189</v>
      </c>
      <c r="G104" s="1">
        <v>1000</v>
      </c>
    </row>
    <row r="105" spans="2:7">
      <c r="B105" s="1" t="s">
        <v>211</v>
      </c>
      <c r="C105" s="1">
        <v>6</v>
      </c>
      <c r="D105" s="1" t="s">
        <v>163</v>
      </c>
      <c r="E105" s="1" t="s">
        <v>188</v>
      </c>
      <c r="F105" s="1" t="s">
        <v>189</v>
      </c>
      <c r="G105" s="1">
        <v>1000</v>
      </c>
    </row>
    <row r="106" spans="2:7">
      <c r="B106" s="1" t="s">
        <v>212</v>
      </c>
      <c r="C106" s="1">
        <v>6</v>
      </c>
      <c r="D106" s="1" t="s">
        <v>163</v>
      </c>
      <c r="E106" s="1" t="s">
        <v>188</v>
      </c>
      <c r="F106" s="1" t="s">
        <v>189</v>
      </c>
      <c r="G106" s="1">
        <v>1000</v>
      </c>
    </row>
    <row r="107" spans="2:7">
      <c r="B107" s="1" t="s">
        <v>213</v>
      </c>
      <c r="C107" s="1">
        <v>6</v>
      </c>
      <c r="D107" s="1" t="s">
        <v>163</v>
      </c>
      <c r="E107" s="1" t="s">
        <v>188</v>
      </c>
      <c r="F107" s="1" t="s">
        <v>189</v>
      </c>
      <c r="G107" s="1">
        <v>1000</v>
      </c>
    </row>
    <row r="108" spans="2:7">
      <c r="B108" s="1" t="s">
        <v>214</v>
      </c>
      <c r="C108" s="1">
        <v>6</v>
      </c>
      <c r="D108" s="1" t="s">
        <v>163</v>
      </c>
      <c r="E108" s="1" t="s">
        <v>188</v>
      </c>
      <c r="F108" s="1" t="s">
        <v>189</v>
      </c>
      <c r="G108" s="1">
        <v>1000</v>
      </c>
    </row>
    <row r="109" spans="2:7">
      <c r="B109" s="1" t="s">
        <v>215</v>
      </c>
      <c r="C109" s="1">
        <v>6</v>
      </c>
      <c r="D109" s="1" t="s">
        <v>163</v>
      </c>
      <c r="E109" s="1" t="s">
        <v>188</v>
      </c>
      <c r="F109" s="1" t="s">
        <v>189</v>
      </c>
      <c r="G109" s="1">
        <v>1000</v>
      </c>
    </row>
    <row r="110" spans="2:7">
      <c r="B110" s="1" t="s">
        <v>216</v>
      </c>
      <c r="C110" s="1">
        <v>6</v>
      </c>
      <c r="D110" s="1" t="s">
        <v>163</v>
      </c>
      <c r="E110" s="1" t="s">
        <v>188</v>
      </c>
      <c r="F110" s="1" t="s">
        <v>189</v>
      </c>
      <c r="G110" s="1">
        <v>1000</v>
      </c>
    </row>
    <row r="111" spans="2:7">
      <c r="B111" s="1" t="s">
        <v>217</v>
      </c>
      <c r="C111" s="1">
        <v>6</v>
      </c>
      <c r="D111" s="1" t="s">
        <v>163</v>
      </c>
      <c r="E111" s="1" t="s">
        <v>188</v>
      </c>
      <c r="F111" s="1" t="s">
        <v>189</v>
      </c>
      <c r="G111" s="1">
        <v>1000</v>
      </c>
    </row>
    <row r="112" spans="2:7">
      <c r="B112" s="1" t="s">
        <v>218</v>
      </c>
      <c r="C112" s="1">
        <v>6</v>
      </c>
      <c r="D112" s="1" t="s">
        <v>163</v>
      </c>
      <c r="E112" s="1" t="s">
        <v>188</v>
      </c>
      <c r="F112" s="1" t="s">
        <v>189</v>
      </c>
      <c r="G112" s="1">
        <v>1000</v>
      </c>
    </row>
    <row r="113" spans="2:7">
      <c r="B113" s="1" t="s">
        <v>219</v>
      </c>
      <c r="C113" s="1">
        <v>6</v>
      </c>
      <c r="D113" s="1" t="s">
        <v>163</v>
      </c>
      <c r="E113" s="1" t="s">
        <v>188</v>
      </c>
      <c r="F113" s="1" t="s">
        <v>189</v>
      </c>
      <c r="G113" s="1">
        <v>1000</v>
      </c>
    </row>
    <row r="114" spans="2:7">
      <c r="B114" s="1" t="s">
        <v>220</v>
      </c>
      <c r="C114" s="1">
        <v>6</v>
      </c>
      <c r="D114" s="1" t="s">
        <v>163</v>
      </c>
      <c r="E114" s="1" t="s">
        <v>188</v>
      </c>
      <c r="F114" s="1" t="s">
        <v>189</v>
      </c>
      <c r="G114" s="1">
        <v>1000</v>
      </c>
    </row>
    <row r="115" spans="2:7">
      <c r="B115" s="1" t="s">
        <v>221</v>
      </c>
      <c r="C115" s="1">
        <v>6</v>
      </c>
      <c r="D115" s="1" t="s">
        <v>163</v>
      </c>
      <c r="E115" s="1" t="s">
        <v>188</v>
      </c>
      <c r="F115" s="1" t="s">
        <v>189</v>
      </c>
      <c r="G115" s="1">
        <v>1000</v>
      </c>
    </row>
    <row r="116" spans="2:7">
      <c r="B116" s="1" t="s">
        <v>222</v>
      </c>
      <c r="C116" s="1">
        <v>6</v>
      </c>
      <c r="D116" s="1" t="s">
        <v>163</v>
      </c>
      <c r="E116" s="1" t="s">
        <v>188</v>
      </c>
      <c r="F116" s="1" t="s">
        <v>189</v>
      </c>
      <c r="G116" s="1">
        <v>1000</v>
      </c>
    </row>
    <row r="117" spans="2:7">
      <c r="B117" s="1" t="s">
        <v>223</v>
      </c>
      <c r="C117" s="1">
        <v>6</v>
      </c>
      <c r="D117" s="1" t="s">
        <v>163</v>
      </c>
      <c r="E117" s="1" t="s">
        <v>188</v>
      </c>
      <c r="F117" s="1" t="s">
        <v>189</v>
      </c>
      <c r="G117" s="1">
        <v>1000</v>
      </c>
    </row>
    <row r="118" spans="2:7">
      <c r="B118" s="1" t="s">
        <v>224</v>
      </c>
      <c r="C118" s="1">
        <v>6</v>
      </c>
      <c r="D118" s="1" t="s">
        <v>163</v>
      </c>
      <c r="E118" s="1" t="s">
        <v>188</v>
      </c>
      <c r="F118" s="1" t="s">
        <v>189</v>
      </c>
      <c r="G118" s="1">
        <v>1000</v>
      </c>
    </row>
    <row r="119" spans="2:7">
      <c r="B119" s="1" t="s">
        <v>225</v>
      </c>
      <c r="C119" s="1">
        <v>6</v>
      </c>
      <c r="D119" s="1" t="s">
        <v>163</v>
      </c>
      <c r="E119" s="1" t="s">
        <v>188</v>
      </c>
      <c r="F119" s="1" t="s">
        <v>189</v>
      </c>
      <c r="G119" s="1">
        <v>1000</v>
      </c>
    </row>
    <row r="120" spans="2:7">
      <c r="B120" s="1" t="s">
        <v>226</v>
      </c>
      <c r="C120" s="1">
        <v>6</v>
      </c>
      <c r="D120" s="1" t="s">
        <v>163</v>
      </c>
      <c r="E120" s="1" t="s">
        <v>188</v>
      </c>
      <c r="F120" s="1" t="s">
        <v>189</v>
      </c>
      <c r="G120" s="1">
        <v>1000</v>
      </c>
    </row>
    <row r="121" spans="2:7">
      <c r="B121" s="1" t="s">
        <v>227</v>
      </c>
      <c r="C121" s="1">
        <v>6</v>
      </c>
      <c r="D121" s="1" t="s">
        <v>163</v>
      </c>
      <c r="E121" s="1" t="s">
        <v>188</v>
      </c>
      <c r="F121" s="1" t="s">
        <v>189</v>
      </c>
      <c r="G121" s="1">
        <v>1000</v>
      </c>
    </row>
    <row r="122" spans="2:7">
      <c r="B122" s="1" t="s">
        <v>208</v>
      </c>
      <c r="C122" s="1">
        <v>7</v>
      </c>
      <c r="D122" s="1" t="s">
        <v>183</v>
      </c>
      <c r="E122" s="1" t="s">
        <v>188</v>
      </c>
      <c r="F122" s="1" t="s">
        <v>207</v>
      </c>
      <c r="G122" s="1">
        <v>1000</v>
      </c>
    </row>
    <row r="123" spans="2:7">
      <c r="B123" s="1" t="s">
        <v>209</v>
      </c>
      <c r="C123" s="1">
        <v>7</v>
      </c>
      <c r="D123" s="1" t="s">
        <v>183</v>
      </c>
      <c r="E123" s="1" t="s">
        <v>188</v>
      </c>
      <c r="F123" s="1" t="s">
        <v>207</v>
      </c>
      <c r="G123" s="1">
        <v>1000</v>
      </c>
    </row>
    <row r="124" spans="2:7">
      <c r="B124" s="1" t="s">
        <v>210</v>
      </c>
      <c r="C124" s="1">
        <v>7</v>
      </c>
      <c r="D124" s="1" t="s">
        <v>183</v>
      </c>
      <c r="E124" s="1" t="s">
        <v>188</v>
      </c>
      <c r="F124" s="1" t="s">
        <v>207</v>
      </c>
      <c r="G124" s="1">
        <v>1000</v>
      </c>
    </row>
    <row r="125" spans="2:7">
      <c r="B125" s="1" t="s">
        <v>211</v>
      </c>
      <c r="C125" s="1">
        <v>7</v>
      </c>
      <c r="D125" s="1" t="s">
        <v>183</v>
      </c>
      <c r="E125" s="1" t="s">
        <v>188</v>
      </c>
      <c r="F125" s="1" t="s">
        <v>207</v>
      </c>
      <c r="G125" s="1">
        <v>1000</v>
      </c>
    </row>
    <row r="126" spans="2:7">
      <c r="B126" s="1" t="s">
        <v>212</v>
      </c>
      <c r="C126" s="1">
        <v>7</v>
      </c>
      <c r="D126" s="1" t="s">
        <v>183</v>
      </c>
      <c r="E126" s="1" t="s">
        <v>188</v>
      </c>
      <c r="F126" s="1" t="s">
        <v>207</v>
      </c>
      <c r="G126" s="1">
        <v>1000</v>
      </c>
    </row>
    <row r="127" spans="2:7">
      <c r="B127" s="1" t="s">
        <v>213</v>
      </c>
      <c r="C127" s="1">
        <v>7</v>
      </c>
      <c r="D127" s="1" t="s">
        <v>183</v>
      </c>
      <c r="E127" s="1" t="s">
        <v>188</v>
      </c>
      <c r="F127" s="1" t="s">
        <v>207</v>
      </c>
      <c r="G127" s="1">
        <v>1000</v>
      </c>
    </row>
    <row r="128" spans="2:7">
      <c r="B128" s="1" t="s">
        <v>214</v>
      </c>
      <c r="C128" s="1">
        <v>7</v>
      </c>
      <c r="D128" s="1" t="s">
        <v>183</v>
      </c>
      <c r="E128" s="1" t="s">
        <v>188</v>
      </c>
      <c r="F128" s="1" t="s">
        <v>207</v>
      </c>
      <c r="G128" s="1">
        <v>1000</v>
      </c>
    </row>
    <row r="129" spans="2:7">
      <c r="B129" s="1" t="s">
        <v>215</v>
      </c>
      <c r="C129" s="1">
        <v>7</v>
      </c>
      <c r="D129" s="1" t="s">
        <v>183</v>
      </c>
      <c r="E129" s="1" t="s">
        <v>188</v>
      </c>
      <c r="F129" s="1" t="s">
        <v>207</v>
      </c>
      <c r="G129" s="1">
        <v>1000</v>
      </c>
    </row>
    <row r="130" spans="2:7">
      <c r="B130" s="1" t="s">
        <v>216</v>
      </c>
      <c r="C130" s="1">
        <v>7</v>
      </c>
      <c r="D130" s="1" t="s">
        <v>183</v>
      </c>
      <c r="E130" s="1" t="s">
        <v>188</v>
      </c>
      <c r="F130" s="1" t="s">
        <v>207</v>
      </c>
      <c r="G130" s="1">
        <v>1000</v>
      </c>
    </row>
    <row r="131" spans="2:7">
      <c r="B131" s="1" t="s">
        <v>217</v>
      </c>
      <c r="C131" s="1">
        <v>7</v>
      </c>
      <c r="D131" s="1" t="s">
        <v>183</v>
      </c>
      <c r="E131" s="1" t="s">
        <v>188</v>
      </c>
      <c r="F131" s="1" t="s">
        <v>207</v>
      </c>
      <c r="G131" s="1">
        <v>1000</v>
      </c>
    </row>
    <row r="132" spans="2:7">
      <c r="B132" s="1" t="s">
        <v>218</v>
      </c>
      <c r="C132" s="1">
        <v>7</v>
      </c>
      <c r="D132" s="1" t="s">
        <v>183</v>
      </c>
      <c r="E132" s="1" t="s">
        <v>188</v>
      </c>
      <c r="F132" s="1" t="s">
        <v>207</v>
      </c>
      <c r="G132" s="1">
        <v>1000</v>
      </c>
    </row>
    <row r="133" spans="2:7">
      <c r="B133" s="1" t="s">
        <v>219</v>
      </c>
      <c r="C133" s="1">
        <v>7</v>
      </c>
      <c r="D133" s="1" t="s">
        <v>183</v>
      </c>
      <c r="E133" s="1" t="s">
        <v>188</v>
      </c>
      <c r="F133" s="1" t="s">
        <v>207</v>
      </c>
      <c r="G133" s="1">
        <v>1000</v>
      </c>
    </row>
    <row r="134" spans="2:7">
      <c r="B134" s="1" t="s">
        <v>220</v>
      </c>
      <c r="C134" s="1">
        <v>7</v>
      </c>
      <c r="D134" s="1" t="s">
        <v>183</v>
      </c>
      <c r="E134" s="1" t="s">
        <v>188</v>
      </c>
      <c r="F134" s="1" t="s">
        <v>207</v>
      </c>
      <c r="G134" s="1">
        <v>1000</v>
      </c>
    </row>
    <row r="135" spans="2:7">
      <c r="B135" s="1" t="s">
        <v>221</v>
      </c>
      <c r="C135" s="1">
        <v>7</v>
      </c>
      <c r="D135" s="1" t="s">
        <v>183</v>
      </c>
      <c r="E135" s="1" t="s">
        <v>188</v>
      </c>
      <c r="F135" s="1" t="s">
        <v>207</v>
      </c>
      <c r="G135" s="1">
        <v>1000</v>
      </c>
    </row>
    <row r="136" spans="2:7">
      <c r="B136" s="1" t="s">
        <v>222</v>
      </c>
      <c r="C136" s="1">
        <v>7</v>
      </c>
      <c r="D136" s="1" t="s">
        <v>183</v>
      </c>
      <c r="E136" s="1" t="s">
        <v>188</v>
      </c>
      <c r="F136" s="1" t="s">
        <v>207</v>
      </c>
      <c r="G136" s="1">
        <v>1000</v>
      </c>
    </row>
    <row r="137" spans="2:7">
      <c r="B137" s="1" t="s">
        <v>223</v>
      </c>
      <c r="C137" s="1">
        <v>7</v>
      </c>
      <c r="D137" s="1" t="s">
        <v>183</v>
      </c>
      <c r="E137" s="1" t="s">
        <v>188</v>
      </c>
      <c r="F137" s="1" t="s">
        <v>207</v>
      </c>
      <c r="G137" s="1">
        <v>1000</v>
      </c>
    </row>
    <row r="138" spans="2:7">
      <c r="B138" s="1" t="s">
        <v>224</v>
      </c>
      <c r="C138" s="1">
        <v>7</v>
      </c>
      <c r="D138" s="1" t="s">
        <v>183</v>
      </c>
      <c r="E138" s="1" t="s">
        <v>188</v>
      </c>
      <c r="F138" s="1" t="s">
        <v>207</v>
      </c>
      <c r="G138" s="1">
        <v>1000</v>
      </c>
    </row>
    <row r="139" spans="2:7">
      <c r="B139" s="1" t="s">
        <v>225</v>
      </c>
      <c r="C139" s="1">
        <v>7</v>
      </c>
      <c r="D139" s="1" t="s">
        <v>183</v>
      </c>
      <c r="E139" s="1" t="s">
        <v>188</v>
      </c>
      <c r="F139" s="1" t="s">
        <v>207</v>
      </c>
      <c r="G139" s="1">
        <v>1000</v>
      </c>
    </row>
    <row r="140" spans="2:7">
      <c r="B140" s="1" t="s">
        <v>226</v>
      </c>
      <c r="C140" s="1">
        <v>7</v>
      </c>
      <c r="D140" s="1" t="s">
        <v>183</v>
      </c>
      <c r="E140" s="1" t="s">
        <v>188</v>
      </c>
      <c r="F140" s="1" t="s">
        <v>207</v>
      </c>
      <c r="G140" s="1">
        <v>1000</v>
      </c>
    </row>
    <row r="141" spans="2:7">
      <c r="B141" s="1" t="s">
        <v>227</v>
      </c>
      <c r="C141" s="1">
        <v>7</v>
      </c>
      <c r="D141" s="1" t="s">
        <v>183</v>
      </c>
      <c r="E141" s="1" t="s">
        <v>188</v>
      </c>
      <c r="F141" s="1" t="s">
        <v>207</v>
      </c>
      <c r="G141" s="1">
        <v>1000</v>
      </c>
    </row>
    <row r="142" spans="2:7">
      <c r="B142" s="1" t="s">
        <v>208</v>
      </c>
      <c r="C142" s="1">
        <v>8</v>
      </c>
      <c r="D142" s="1" t="s">
        <v>185</v>
      </c>
      <c r="E142" s="1" t="s">
        <v>188</v>
      </c>
      <c r="F142" s="1" t="s">
        <v>186</v>
      </c>
      <c r="G142" s="1">
        <v>1000</v>
      </c>
    </row>
    <row r="143" spans="2:7">
      <c r="B143" s="1" t="s">
        <v>209</v>
      </c>
      <c r="C143" s="1">
        <v>8</v>
      </c>
      <c r="D143" s="1" t="s">
        <v>185</v>
      </c>
      <c r="E143" s="1" t="s">
        <v>188</v>
      </c>
      <c r="F143" s="1" t="s">
        <v>186</v>
      </c>
      <c r="G143" s="1">
        <v>1000</v>
      </c>
    </row>
    <row r="144" spans="2:7">
      <c r="B144" s="1" t="s">
        <v>210</v>
      </c>
      <c r="C144" s="1">
        <v>8</v>
      </c>
      <c r="D144" s="1" t="s">
        <v>185</v>
      </c>
      <c r="E144" s="1" t="s">
        <v>188</v>
      </c>
      <c r="F144" s="1" t="s">
        <v>186</v>
      </c>
      <c r="G144" s="1">
        <v>1000</v>
      </c>
    </row>
    <row r="145" spans="2:7">
      <c r="B145" s="1" t="s">
        <v>211</v>
      </c>
      <c r="C145" s="1">
        <v>8</v>
      </c>
      <c r="D145" s="1" t="s">
        <v>185</v>
      </c>
      <c r="E145" s="1" t="s">
        <v>188</v>
      </c>
      <c r="F145" s="1" t="s">
        <v>186</v>
      </c>
      <c r="G145" s="1">
        <v>1000</v>
      </c>
    </row>
    <row r="146" spans="2:7">
      <c r="B146" s="1" t="s">
        <v>212</v>
      </c>
      <c r="C146" s="1">
        <v>8</v>
      </c>
      <c r="D146" s="1" t="s">
        <v>185</v>
      </c>
      <c r="E146" s="1" t="s">
        <v>188</v>
      </c>
      <c r="F146" s="1" t="s">
        <v>186</v>
      </c>
      <c r="G146" s="1">
        <v>1000</v>
      </c>
    </row>
    <row r="147" spans="2:7">
      <c r="B147" s="1" t="s">
        <v>213</v>
      </c>
      <c r="C147" s="1">
        <v>8</v>
      </c>
      <c r="D147" s="1" t="s">
        <v>185</v>
      </c>
      <c r="E147" s="1" t="s">
        <v>188</v>
      </c>
      <c r="F147" s="1" t="s">
        <v>186</v>
      </c>
      <c r="G147" s="1">
        <v>1000</v>
      </c>
    </row>
    <row r="148" spans="2:7">
      <c r="B148" s="1" t="s">
        <v>214</v>
      </c>
      <c r="C148" s="1">
        <v>8</v>
      </c>
      <c r="D148" s="1" t="s">
        <v>185</v>
      </c>
      <c r="E148" s="1" t="s">
        <v>188</v>
      </c>
      <c r="F148" s="1" t="s">
        <v>186</v>
      </c>
      <c r="G148" s="1">
        <v>1000</v>
      </c>
    </row>
    <row r="149" spans="2:7">
      <c r="B149" s="1" t="s">
        <v>215</v>
      </c>
      <c r="C149" s="1">
        <v>8</v>
      </c>
      <c r="D149" s="1" t="s">
        <v>185</v>
      </c>
      <c r="E149" s="1" t="s">
        <v>188</v>
      </c>
      <c r="F149" s="1" t="s">
        <v>186</v>
      </c>
      <c r="G149" s="1">
        <v>1000</v>
      </c>
    </row>
    <row r="150" spans="2:7">
      <c r="B150" s="1" t="s">
        <v>216</v>
      </c>
      <c r="C150" s="1">
        <v>8</v>
      </c>
      <c r="D150" s="1" t="s">
        <v>185</v>
      </c>
      <c r="E150" s="1" t="s">
        <v>188</v>
      </c>
      <c r="F150" s="1" t="s">
        <v>186</v>
      </c>
      <c r="G150" s="1">
        <v>1000</v>
      </c>
    </row>
    <row r="151" spans="2:7">
      <c r="B151" s="1" t="s">
        <v>217</v>
      </c>
      <c r="C151" s="1">
        <v>8</v>
      </c>
      <c r="D151" s="1" t="s">
        <v>185</v>
      </c>
      <c r="E151" s="1" t="s">
        <v>188</v>
      </c>
      <c r="F151" s="1" t="s">
        <v>186</v>
      </c>
      <c r="G151" s="1">
        <v>1000</v>
      </c>
    </row>
    <row r="152" spans="2:7">
      <c r="B152" s="1" t="s">
        <v>218</v>
      </c>
      <c r="C152" s="1">
        <v>8</v>
      </c>
      <c r="D152" s="1" t="s">
        <v>185</v>
      </c>
      <c r="E152" s="1" t="s">
        <v>188</v>
      </c>
      <c r="F152" s="1" t="s">
        <v>186</v>
      </c>
      <c r="G152" s="1">
        <v>1000</v>
      </c>
    </row>
    <row r="153" spans="2:7">
      <c r="B153" s="1" t="s">
        <v>219</v>
      </c>
      <c r="C153" s="1">
        <v>8</v>
      </c>
      <c r="D153" s="1" t="s">
        <v>185</v>
      </c>
      <c r="E153" s="1" t="s">
        <v>188</v>
      </c>
      <c r="F153" s="1" t="s">
        <v>186</v>
      </c>
      <c r="G153" s="1">
        <v>1000</v>
      </c>
    </row>
    <row r="154" spans="2:7">
      <c r="B154" s="1" t="s">
        <v>220</v>
      </c>
      <c r="C154" s="1">
        <v>8</v>
      </c>
      <c r="D154" s="1" t="s">
        <v>185</v>
      </c>
      <c r="E154" s="1" t="s">
        <v>188</v>
      </c>
      <c r="F154" s="1" t="s">
        <v>186</v>
      </c>
      <c r="G154" s="1">
        <v>1000</v>
      </c>
    </row>
    <row r="155" spans="2:7">
      <c r="B155" s="1" t="s">
        <v>221</v>
      </c>
      <c r="C155" s="1">
        <v>8</v>
      </c>
      <c r="D155" s="1" t="s">
        <v>185</v>
      </c>
      <c r="E155" s="1" t="s">
        <v>188</v>
      </c>
      <c r="F155" s="1" t="s">
        <v>186</v>
      </c>
      <c r="G155" s="1">
        <v>1000</v>
      </c>
    </row>
    <row r="156" spans="2:7">
      <c r="B156" s="1" t="s">
        <v>222</v>
      </c>
      <c r="C156" s="1">
        <v>8</v>
      </c>
      <c r="D156" s="1" t="s">
        <v>185</v>
      </c>
      <c r="E156" s="1" t="s">
        <v>188</v>
      </c>
      <c r="F156" s="1" t="s">
        <v>186</v>
      </c>
      <c r="G156" s="1">
        <v>1000</v>
      </c>
    </row>
    <row r="157" spans="2:7">
      <c r="B157" s="1" t="s">
        <v>223</v>
      </c>
      <c r="C157" s="1">
        <v>8</v>
      </c>
      <c r="D157" s="1" t="s">
        <v>185</v>
      </c>
      <c r="E157" s="1" t="s">
        <v>188</v>
      </c>
      <c r="F157" s="1" t="s">
        <v>186</v>
      </c>
      <c r="G157" s="1">
        <v>1000</v>
      </c>
    </row>
    <row r="158" spans="2:7">
      <c r="B158" s="1" t="s">
        <v>224</v>
      </c>
      <c r="C158" s="1">
        <v>8</v>
      </c>
      <c r="D158" s="1" t="s">
        <v>185</v>
      </c>
      <c r="E158" s="1" t="s">
        <v>188</v>
      </c>
      <c r="F158" s="1" t="s">
        <v>186</v>
      </c>
      <c r="G158" s="1">
        <v>1000</v>
      </c>
    </row>
    <row r="159" spans="2:7">
      <c r="B159" s="1" t="s">
        <v>225</v>
      </c>
      <c r="C159" s="1">
        <v>8</v>
      </c>
      <c r="D159" s="1" t="s">
        <v>185</v>
      </c>
      <c r="E159" s="1" t="s">
        <v>188</v>
      </c>
      <c r="F159" s="1" t="s">
        <v>186</v>
      </c>
      <c r="G159" s="1">
        <v>1000</v>
      </c>
    </row>
    <row r="160" spans="2:7">
      <c r="B160" s="1" t="s">
        <v>226</v>
      </c>
      <c r="C160" s="1">
        <v>8</v>
      </c>
      <c r="D160" s="1" t="s">
        <v>185</v>
      </c>
      <c r="E160" s="1" t="s">
        <v>188</v>
      </c>
      <c r="F160" s="1" t="s">
        <v>186</v>
      </c>
      <c r="G160" s="1">
        <v>1000</v>
      </c>
    </row>
    <row r="161" spans="2:7">
      <c r="B161" s="1" t="s">
        <v>227</v>
      </c>
      <c r="C161" s="1">
        <v>8</v>
      </c>
      <c r="D161" s="1" t="s">
        <v>185</v>
      </c>
      <c r="E161" s="1" t="s">
        <v>188</v>
      </c>
      <c r="F161" s="1" t="s">
        <v>186</v>
      </c>
      <c r="G161" s="1">
        <v>1000</v>
      </c>
    </row>
  </sheetData>
  <autoFilter ref="B2:G161" xr:uid="{0A4FB8C2-2730-4B1E-AB35-122D16B0C3B3}">
    <sortState xmlns:xlrd2="http://schemas.microsoft.com/office/spreadsheetml/2017/richdata2" ref="B3:G161">
      <sortCondition ref="C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152A-ACFD-483E-B511-029BA942ADDD}">
  <dimension ref="A1:S85"/>
  <sheetViews>
    <sheetView topLeftCell="A22" zoomScale="85" zoomScaleNormal="85" workbookViewId="0">
      <selection activeCell="D20" sqref="D20"/>
    </sheetView>
  </sheetViews>
  <sheetFormatPr defaultRowHeight="15"/>
  <cols>
    <col min="2" max="2" width="26.28515625" bestFit="1" customWidth="1"/>
    <col min="3" max="3" width="16.28515625" bestFit="1" customWidth="1"/>
    <col min="4" max="4" width="31.42578125" bestFit="1" customWidth="1"/>
    <col min="5" max="5" width="23.7109375" bestFit="1" customWidth="1"/>
    <col min="9" max="9" width="15.7109375" customWidth="1"/>
    <col min="11" max="11" width="13.42578125" customWidth="1"/>
    <col min="12" max="12" width="14.28515625" customWidth="1"/>
    <col min="13" max="13" width="15.7109375" customWidth="1"/>
    <col min="14" max="14" width="13" customWidth="1"/>
    <col min="15" max="15" width="10.42578125" bestFit="1" customWidth="1"/>
    <col min="16" max="16" width="16.28515625" bestFit="1" customWidth="1"/>
    <col min="17" max="17" width="20.42578125" bestFit="1" customWidth="1"/>
  </cols>
  <sheetData>
    <row r="1" spans="2:4">
      <c r="B1" t="s">
        <v>228</v>
      </c>
    </row>
    <row r="2" spans="2:4">
      <c r="B2" t="s">
        <v>229</v>
      </c>
      <c r="C2" t="s">
        <v>161</v>
      </c>
      <c r="D2" t="s">
        <v>230</v>
      </c>
    </row>
    <row r="3" spans="2:4">
      <c r="B3" t="s">
        <v>231</v>
      </c>
      <c r="C3" t="s">
        <v>232</v>
      </c>
      <c r="D3" t="s">
        <v>233</v>
      </c>
    </row>
    <row r="4" spans="2:4">
      <c r="B4" t="s">
        <v>234</v>
      </c>
      <c r="C4" t="s">
        <v>235</v>
      </c>
      <c r="D4" t="s">
        <v>236</v>
      </c>
    </row>
    <row r="5" spans="2:4">
      <c r="B5" t="s">
        <v>237</v>
      </c>
      <c r="C5">
        <v>1</v>
      </c>
      <c r="D5" t="s">
        <v>238</v>
      </c>
    </row>
    <row r="6" spans="2:4">
      <c r="B6" t="s">
        <v>239</v>
      </c>
      <c r="C6">
        <v>900000</v>
      </c>
      <c r="D6" t="s">
        <v>240</v>
      </c>
    </row>
    <row r="7" spans="2:4">
      <c r="B7" t="s">
        <v>241</v>
      </c>
      <c r="C7">
        <v>900000</v>
      </c>
      <c r="D7" t="s">
        <v>242</v>
      </c>
    </row>
    <row r="8" spans="2:4" ht="120">
      <c r="B8" t="s">
        <v>243</v>
      </c>
      <c r="D8" s="32" t="s">
        <v>244</v>
      </c>
    </row>
    <row r="14" spans="2:4">
      <c r="B14" t="s">
        <v>245</v>
      </c>
    </row>
    <row r="23" spans="1:19" ht="60">
      <c r="M23" s="13" t="s">
        <v>246</v>
      </c>
      <c r="N23" s="1">
        <v>100</v>
      </c>
    </row>
    <row r="24" spans="1:19">
      <c r="I24" s="1" t="s">
        <v>160</v>
      </c>
      <c r="J24" s="1" t="s">
        <v>247</v>
      </c>
      <c r="M24" s="1" t="s">
        <v>245</v>
      </c>
      <c r="N24" s="1" t="s">
        <v>230</v>
      </c>
      <c r="O24" s="1" t="s">
        <v>248</v>
      </c>
      <c r="P24" s="1" t="s">
        <v>249</v>
      </c>
      <c r="Q24" s="1" t="s">
        <v>250</v>
      </c>
      <c r="R24" s="1" t="s">
        <v>251</v>
      </c>
      <c r="S24" s="1" t="s">
        <v>252</v>
      </c>
    </row>
    <row r="25" spans="1:19">
      <c r="B25" s="33" t="s">
        <v>253</v>
      </c>
      <c r="C25" s="1" t="s">
        <v>0</v>
      </c>
      <c r="D25" s="1" t="s">
        <v>73</v>
      </c>
      <c r="E25" s="1" t="s">
        <v>254</v>
      </c>
      <c r="I25" s="1" t="s">
        <v>255</v>
      </c>
      <c r="J25" s="1">
        <v>21</v>
      </c>
      <c r="K25" t="str">
        <f t="shared" ref="K25:K26" si="0">CONCATENATE("0x",DEC2HEX(J25,2))</f>
        <v>0x15</v>
      </c>
      <c r="L25" t="str">
        <f>CONCATENATE("0x",DEC2HEX(M25,2))</f>
        <v>0x64</v>
      </c>
      <c r="M25" s="1">
        <v>100</v>
      </c>
      <c r="N25" s="1" t="s">
        <v>256</v>
      </c>
      <c r="O25" s="1" t="s">
        <v>257</v>
      </c>
      <c r="P25" s="1" t="s">
        <v>258</v>
      </c>
      <c r="Q25" s="1">
        <v>0</v>
      </c>
      <c r="R25" s="1" t="s">
        <v>259</v>
      </c>
      <c r="S25" s="1" t="s">
        <v>260</v>
      </c>
    </row>
    <row r="26" spans="1:19">
      <c r="B26" t="s">
        <v>261</v>
      </c>
      <c r="C26" s="1">
        <v>1</v>
      </c>
      <c r="D26" s="1">
        <v>0</v>
      </c>
      <c r="E26" s="1" t="s">
        <v>262</v>
      </c>
      <c r="I26" s="1" t="s">
        <v>263</v>
      </c>
      <c r="J26" s="1">
        <v>34</v>
      </c>
      <c r="K26" t="str">
        <f t="shared" si="0"/>
        <v>0x22</v>
      </c>
      <c r="L26" t="str">
        <f t="shared" ref="L26:L27" si="1">CONCATENATE("0x",DEC2HEX(M26,2))</f>
        <v>0x65</v>
      </c>
      <c r="M26" s="1">
        <v>101</v>
      </c>
      <c r="N26" s="1" t="s">
        <v>264</v>
      </c>
      <c r="O26" s="1" t="s">
        <v>257</v>
      </c>
      <c r="P26" s="1" t="s">
        <v>258</v>
      </c>
      <c r="Q26" s="1">
        <v>800000</v>
      </c>
      <c r="R26" s="1" t="s">
        <v>259</v>
      </c>
      <c r="S26" s="1" t="s">
        <v>260</v>
      </c>
    </row>
    <row r="27" spans="1:19">
      <c r="I27" s="1" t="s">
        <v>265</v>
      </c>
      <c r="J27" s="1">
        <v>67</v>
      </c>
      <c r="K27" t="str">
        <f>CONCATENATE("0x",DEC2HEX(J27,2))</f>
        <v>0x43</v>
      </c>
      <c r="L27" t="str">
        <f t="shared" si="1"/>
        <v>0x66</v>
      </c>
      <c r="M27" s="1">
        <v>102</v>
      </c>
      <c r="N27" s="1" t="s">
        <v>266</v>
      </c>
      <c r="O27" s="1" t="s">
        <v>257</v>
      </c>
      <c r="P27" s="1" t="s">
        <v>258</v>
      </c>
      <c r="Q27" s="1">
        <v>0</v>
      </c>
      <c r="R27" s="1" t="s">
        <v>259</v>
      </c>
      <c r="S27" s="1" t="s">
        <v>260</v>
      </c>
    </row>
    <row r="28" spans="1:19">
      <c r="B28" t="s">
        <v>267</v>
      </c>
      <c r="C28" s="33" t="s">
        <v>268</v>
      </c>
      <c r="D28" s="33" t="s">
        <v>255</v>
      </c>
      <c r="E28" s="33" t="s">
        <v>263</v>
      </c>
    </row>
    <row r="29" spans="1:19">
      <c r="A29" t="s">
        <v>269</v>
      </c>
      <c r="B29" t="s">
        <v>270</v>
      </c>
      <c r="C29" t="s">
        <v>271</v>
      </c>
      <c r="D29" t="s">
        <v>272</v>
      </c>
      <c r="E29" t="s">
        <v>273</v>
      </c>
      <c r="F29" t="s">
        <v>274</v>
      </c>
      <c r="G29" t="s">
        <v>275</v>
      </c>
      <c r="I29" s="1" t="s">
        <v>276</v>
      </c>
      <c r="J29" s="1">
        <v>87</v>
      </c>
    </row>
    <row r="30" spans="1:19">
      <c r="B30">
        <v>800000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9">
      <c r="B31" s="34" t="s">
        <v>277</v>
      </c>
    </row>
    <row r="33" spans="1:16">
      <c r="B33" s="33" t="s">
        <v>278</v>
      </c>
      <c r="C33" s="1" t="s">
        <v>0</v>
      </c>
      <c r="D33" s="1" t="s">
        <v>73</v>
      </c>
      <c r="E33" s="1" t="s">
        <v>254</v>
      </c>
    </row>
    <row r="34" spans="1:16">
      <c r="B34" t="s">
        <v>261</v>
      </c>
      <c r="C34" s="1">
        <v>1</v>
      </c>
      <c r="D34" s="1">
        <v>11</v>
      </c>
      <c r="E34" s="1" t="s">
        <v>279</v>
      </c>
    </row>
    <row r="36" spans="1:16">
      <c r="A36" s="33" t="s">
        <v>280</v>
      </c>
      <c r="B36" t="s">
        <v>267</v>
      </c>
      <c r="C36" s="33" t="s">
        <v>281</v>
      </c>
      <c r="D36" s="33" t="s">
        <v>255</v>
      </c>
      <c r="E36" s="33" t="s">
        <v>263</v>
      </c>
    </row>
    <row r="37" spans="1:16">
      <c r="A37" t="s">
        <v>269</v>
      </c>
      <c r="B37" t="s">
        <v>270</v>
      </c>
      <c r="C37" t="s">
        <v>271</v>
      </c>
      <c r="D37" t="s">
        <v>272</v>
      </c>
      <c r="E37" t="s">
        <v>273</v>
      </c>
      <c r="F37" t="s">
        <v>274</v>
      </c>
      <c r="G37" t="s">
        <v>275</v>
      </c>
    </row>
    <row r="38" spans="1:16" ht="60">
      <c r="B38">
        <v>800000</v>
      </c>
      <c r="C38">
        <v>0</v>
      </c>
      <c r="D38">
        <v>0</v>
      </c>
      <c r="E38">
        <v>0</v>
      </c>
      <c r="F38">
        <v>0</v>
      </c>
      <c r="G38">
        <v>0</v>
      </c>
      <c r="N38" s="32" t="s">
        <v>282</v>
      </c>
      <c r="O38">
        <v>3972</v>
      </c>
    </row>
    <row r="39" spans="1:16" ht="37.9" customHeight="1">
      <c r="B39" s="34" t="s">
        <v>277</v>
      </c>
      <c r="I39" s="32" t="s">
        <v>283</v>
      </c>
      <c r="J39" t="s">
        <v>284</v>
      </c>
    </row>
    <row r="41" spans="1:16">
      <c r="A41" s="33" t="s">
        <v>285</v>
      </c>
      <c r="C41" t="s">
        <v>286</v>
      </c>
      <c r="D41" t="s">
        <v>287</v>
      </c>
      <c r="I41" s="35" t="s">
        <v>288</v>
      </c>
      <c r="J41" s="35" t="s">
        <v>289</v>
      </c>
      <c r="K41" s="35" t="s">
        <v>290</v>
      </c>
      <c r="L41" s="35" t="s">
        <v>291</v>
      </c>
      <c r="M41" s="35" t="s">
        <v>292</v>
      </c>
      <c r="N41" s="37" t="s">
        <v>293</v>
      </c>
      <c r="O41" s="37" t="s">
        <v>251</v>
      </c>
      <c r="P41" s="37" t="s">
        <v>252</v>
      </c>
    </row>
    <row r="42" spans="1:16" ht="30">
      <c r="A42" t="s">
        <v>269</v>
      </c>
      <c r="B42" t="s">
        <v>270</v>
      </c>
      <c r="C42" t="s">
        <v>271</v>
      </c>
      <c r="D42" t="s">
        <v>272</v>
      </c>
      <c r="I42" s="35">
        <v>2500</v>
      </c>
      <c r="J42" s="36" t="s">
        <v>253</v>
      </c>
      <c r="K42" s="35" t="s">
        <v>294</v>
      </c>
      <c r="L42" s="35">
        <v>4100</v>
      </c>
      <c r="M42" s="35">
        <v>65535</v>
      </c>
      <c r="N42" t="s">
        <v>295</v>
      </c>
      <c r="O42" s="1" t="s">
        <v>259</v>
      </c>
      <c r="P42" s="1" t="s">
        <v>260</v>
      </c>
    </row>
    <row r="43" spans="1:16">
      <c r="B43">
        <v>0</v>
      </c>
      <c r="C43">
        <v>0.1</v>
      </c>
      <c r="D43">
        <v>0</v>
      </c>
    </row>
    <row r="44" spans="1:16">
      <c r="C44" s="34" t="s">
        <v>296</v>
      </c>
      <c r="I44" t="s">
        <v>253</v>
      </c>
      <c r="J44" s="1" t="s">
        <v>297</v>
      </c>
      <c r="K44" s="1" t="s">
        <v>290</v>
      </c>
      <c r="L44" s="1" t="s">
        <v>298</v>
      </c>
      <c r="M44" t="s">
        <v>299</v>
      </c>
    </row>
    <row r="45" spans="1:16">
      <c r="J45" s="1">
        <v>4100</v>
      </c>
      <c r="K45" s="1" t="s">
        <v>300</v>
      </c>
      <c r="L45" s="1"/>
      <c r="M45" t="s">
        <v>301</v>
      </c>
    </row>
    <row r="46" spans="1:16">
      <c r="A46" s="33" t="s">
        <v>302</v>
      </c>
      <c r="C46" t="s">
        <v>303</v>
      </c>
      <c r="D46" t="s">
        <v>255</v>
      </c>
      <c r="J46" s="1">
        <v>4101</v>
      </c>
      <c r="K46" s="1" t="s">
        <v>300</v>
      </c>
      <c r="L46" s="1"/>
      <c r="M46" t="s">
        <v>304</v>
      </c>
    </row>
    <row r="47" spans="1:16">
      <c r="B47" t="s">
        <v>270</v>
      </c>
      <c r="C47" t="s">
        <v>271</v>
      </c>
      <c r="D47" t="s">
        <v>272</v>
      </c>
      <c r="J47" s="1">
        <v>4102</v>
      </c>
      <c r="K47" s="1" t="s">
        <v>269</v>
      </c>
      <c r="L47" s="1" t="s">
        <v>305</v>
      </c>
    </row>
    <row r="48" spans="1:16">
      <c r="B48">
        <v>10000</v>
      </c>
      <c r="C48">
        <v>0</v>
      </c>
      <c r="D48">
        <v>0</v>
      </c>
      <c r="J48" s="1">
        <v>4103</v>
      </c>
      <c r="K48" s="1" t="s">
        <v>269</v>
      </c>
      <c r="L48" s="1">
        <v>0</v>
      </c>
    </row>
    <row r="49" spans="2:16">
      <c r="B49" s="34" t="s">
        <v>306</v>
      </c>
      <c r="J49" s="1">
        <v>4104</v>
      </c>
      <c r="K49" s="1" t="s">
        <v>269</v>
      </c>
      <c r="L49" s="1">
        <v>0</v>
      </c>
    </row>
    <row r="50" spans="2:16">
      <c r="J50" s="1">
        <v>4105</v>
      </c>
      <c r="K50" s="1" t="s">
        <v>269</v>
      </c>
      <c r="L50" s="1">
        <v>0</v>
      </c>
    </row>
    <row r="51" spans="2:16">
      <c r="J51" s="1">
        <v>4106</v>
      </c>
      <c r="K51" s="1" t="s">
        <v>269</v>
      </c>
      <c r="L51" s="1">
        <v>0</v>
      </c>
    </row>
    <row r="52" spans="2:16">
      <c r="J52" s="1">
        <v>4107</v>
      </c>
      <c r="K52" s="1" t="s">
        <v>269</v>
      </c>
      <c r="L52" s="1">
        <v>0</v>
      </c>
    </row>
    <row r="55" spans="2:16">
      <c r="I55" s="35" t="s">
        <v>288</v>
      </c>
      <c r="J55" s="35" t="s">
        <v>289</v>
      </c>
      <c r="K55" s="35" t="s">
        <v>290</v>
      </c>
      <c r="L55" s="35" t="s">
        <v>291</v>
      </c>
      <c r="M55" s="35" t="s">
        <v>292</v>
      </c>
      <c r="N55" s="37" t="s">
        <v>293</v>
      </c>
      <c r="O55" s="37" t="s">
        <v>251</v>
      </c>
      <c r="P55" s="37" t="s">
        <v>252</v>
      </c>
    </row>
    <row r="56" spans="2:16" ht="60">
      <c r="I56" s="35">
        <v>2501</v>
      </c>
      <c r="J56" s="36" t="s">
        <v>307</v>
      </c>
      <c r="K56" s="35" t="s">
        <v>294</v>
      </c>
      <c r="L56" s="35">
        <v>4108</v>
      </c>
      <c r="M56" s="35">
        <v>2502</v>
      </c>
      <c r="N56" t="s">
        <v>295</v>
      </c>
      <c r="O56" s="1" t="s">
        <v>259</v>
      </c>
      <c r="P56" s="1" t="s">
        <v>260</v>
      </c>
    </row>
    <row r="58" spans="2:16" ht="45">
      <c r="I58" s="32" t="s">
        <v>308</v>
      </c>
      <c r="J58" s="1" t="s">
        <v>297</v>
      </c>
      <c r="K58" s="1" t="s">
        <v>290</v>
      </c>
      <c r="L58" s="1" t="s">
        <v>298</v>
      </c>
      <c r="M58" t="s">
        <v>299</v>
      </c>
    </row>
    <row r="59" spans="2:16">
      <c r="J59" s="1">
        <v>4108</v>
      </c>
      <c r="K59" s="1" t="s">
        <v>300</v>
      </c>
      <c r="L59" s="1"/>
      <c r="M59" t="s">
        <v>301</v>
      </c>
    </row>
    <row r="60" spans="2:16">
      <c r="J60" s="1">
        <v>4109</v>
      </c>
      <c r="K60" s="1" t="s">
        <v>300</v>
      </c>
      <c r="L60" s="1"/>
      <c r="M60" t="s">
        <v>304</v>
      </c>
    </row>
    <row r="61" spans="2:16">
      <c r="J61" s="1">
        <v>4110</v>
      </c>
      <c r="K61" s="1" t="s">
        <v>269</v>
      </c>
      <c r="L61" s="1" t="s">
        <v>305</v>
      </c>
    </row>
    <row r="62" spans="2:16">
      <c r="J62" s="1">
        <v>4111</v>
      </c>
      <c r="K62" s="1" t="s">
        <v>269</v>
      </c>
      <c r="L62" s="1">
        <v>0</v>
      </c>
    </row>
    <row r="63" spans="2:16">
      <c r="J63" s="1">
        <v>4112</v>
      </c>
      <c r="K63" s="1" t="s">
        <v>269</v>
      </c>
      <c r="L63" s="1">
        <v>0</v>
      </c>
    </row>
    <row r="64" spans="2:16">
      <c r="J64" s="1">
        <v>4113</v>
      </c>
      <c r="K64" s="1" t="s">
        <v>269</v>
      </c>
      <c r="L64" s="1">
        <v>0</v>
      </c>
    </row>
    <row r="65" spans="9:16">
      <c r="J65" s="1">
        <v>4114</v>
      </c>
      <c r="K65" s="1" t="s">
        <v>269</v>
      </c>
      <c r="L65" s="1">
        <v>0</v>
      </c>
    </row>
    <row r="66" spans="9:16">
      <c r="J66" s="1">
        <v>4115</v>
      </c>
      <c r="K66" s="1" t="s">
        <v>269</v>
      </c>
      <c r="L66" s="1">
        <v>0</v>
      </c>
    </row>
    <row r="68" spans="9:16">
      <c r="I68" s="35" t="s">
        <v>288</v>
      </c>
      <c r="J68" s="35" t="s">
        <v>289</v>
      </c>
      <c r="K68" s="35" t="s">
        <v>290</v>
      </c>
      <c r="L68" s="35" t="s">
        <v>291</v>
      </c>
      <c r="M68" s="35" t="s">
        <v>292</v>
      </c>
      <c r="N68" s="37" t="s">
        <v>293</v>
      </c>
      <c r="O68" s="37" t="s">
        <v>251</v>
      </c>
      <c r="P68" s="37" t="s">
        <v>252</v>
      </c>
    </row>
    <row r="69" spans="9:16" ht="75">
      <c r="I69" s="35">
        <v>2502</v>
      </c>
      <c r="J69" s="36" t="s">
        <v>309</v>
      </c>
      <c r="K69" s="35" t="s">
        <v>294</v>
      </c>
      <c r="L69" s="35">
        <v>4116</v>
      </c>
      <c r="M69" s="35">
        <v>2503</v>
      </c>
      <c r="N69" t="s">
        <v>310</v>
      </c>
      <c r="O69" s="1" t="s">
        <v>259</v>
      </c>
      <c r="P69" s="1" t="s">
        <v>260</v>
      </c>
    </row>
    <row r="71" spans="9:16" ht="45">
      <c r="I71" s="32" t="s">
        <v>311</v>
      </c>
      <c r="J71" s="1" t="s">
        <v>297</v>
      </c>
      <c r="K71" s="1" t="s">
        <v>290</v>
      </c>
      <c r="L71" s="1" t="s">
        <v>298</v>
      </c>
      <c r="M71" t="s">
        <v>299</v>
      </c>
    </row>
    <row r="72" spans="9:16">
      <c r="J72" s="1">
        <v>4116</v>
      </c>
      <c r="K72" s="1" t="s">
        <v>300</v>
      </c>
      <c r="L72" s="1"/>
      <c r="M72" t="s">
        <v>312</v>
      </c>
    </row>
    <row r="73" spans="9:16">
      <c r="J73" s="1">
        <v>4117</v>
      </c>
      <c r="K73" s="1" t="s">
        <v>269</v>
      </c>
      <c r="L73" s="1">
        <v>0</v>
      </c>
    </row>
    <row r="74" spans="9:16">
      <c r="J74" s="1">
        <v>4118</v>
      </c>
      <c r="K74" s="1" t="s">
        <v>269</v>
      </c>
      <c r="L74" s="1" t="s">
        <v>313</v>
      </c>
    </row>
    <row r="75" spans="9:16">
      <c r="J75" s="1">
        <v>4119</v>
      </c>
      <c r="K75" s="1" t="s">
        <v>269</v>
      </c>
      <c r="L75" s="1">
        <v>0</v>
      </c>
    </row>
    <row r="78" spans="9:16">
      <c r="I78" s="35" t="s">
        <v>288</v>
      </c>
      <c r="J78" s="35" t="s">
        <v>289</v>
      </c>
      <c r="K78" s="35" t="s">
        <v>290</v>
      </c>
      <c r="L78" s="35" t="s">
        <v>291</v>
      </c>
      <c r="M78" s="35" t="s">
        <v>292</v>
      </c>
      <c r="N78" s="37" t="s">
        <v>293</v>
      </c>
      <c r="O78" s="37" t="s">
        <v>251</v>
      </c>
      <c r="P78" s="37" t="s">
        <v>252</v>
      </c>
    </row>
    <row r="79" spans="9:16" ht="90">
      <c r="I79" s="35">
        <v>2503</v>
      </c>
      <c r="J79" s="36" t="s">
        <v>314</v>
      </c>
      <c r="K79" s="35" t="s">
        <v>294</v>
      </c>
      <c r="L79" s="35">
        <v>4120</v>
      </c>
      <c r="M79" s="35">
        <v>65535</v>
      </c>
      <c r="N79" t="s">
        <v>310</v>
      </c>
      <c r="O79" s="1" t="s">
        <v>259</v>
      </c>
      <c r="P79" s="1" t="s">
        <v>260</v>
      </c>
    </row>
    <row r="81" spans="9:13" ht="45">
      <c r="I81" s="32" t="s">
        <v>311</v>
      </c>
      <c r="J81" s="1" t="s">
        <v>297</v>
      </c>
      <c r="K81" s="1" t="s">
        <v>290</v>
      </c>
      <c r="L81" s="1" t="s">
        <v>298</v>
      </c>
      <c r="M81" t="s">
        <v>299</v>
      </c>
    </row>
    <row r="82" spans="9:13">
      <c r="J82" s="1">
        <v>4120</v>
      </c>
      <c r="K82" s="1" t="s">
        <v>300</v>
      </c>
      <c r="L82" s="1"/>
      <c r="M82" t="s">
        <v>301</v>
      </c>
    </row>
    <row r="83" spans="9:13">
      <c r="J83" s="1">
        <v>4121</v>
      </c>
      <c r="K83" s="1" t="s">
        <v>269</v>
      </c>
      <c r="L83" s="1" t="s">
        <v>315</v>
      </c>
    </row>
    <row r="84" spans="9:13">
      <c r="J84" s="1">
        <v>4122</v>
      </c>
      <c r="K84" s="1" t="s">
        <v>269</v>
      </c>
      <c r="L84" s="1">
        <v>0</v>
      </c>
    </row>
    <row r="85" spans="9:13">
      <c r="J85" s="1">
        <v>4123</v>
      </c>
      <c r="K85" s="1" t="s">
        <v>269</v>
      </c>
      <c r="L85" s="1">
        <v>0</v>
      </c>
    </row>
  </sheetData>
  <phoneticPr fontId="5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7CCF-0E89-4859-A59F-979611872749}">
  <dimension ref="A1:T85"/>
  <sheetViews>
    <sheetView topLeftCell="A16" zoomScale="80" zoomScaleNormal="80" workbookViewId="0">
      <selection activeCell="M46" sqref="M46"/>
    </sheetView>
  </sheetViews>
  <sheetFormatPr defaultRowHeight="15"/>
  <cols>
    <col min="2" max="2" width="26.28515625" bestFit="1" customWidth="1"/>
    <col min="3" max="3" width="16.28515625" bestFit="1" customWidth="1"/>
    <col min="4" max="4" width="31.42578125" bestFit="1" customWidth="1"/>
    <col min="5" max="5" width="23.7109375" bestFit="1" customWidth="1"/>
    <col min="9" max="9" width="33.85546875" bestFit="1" customWidth="1"/>
    <col min="11" max="11" width="13.42578125" customWidth="1"/>
    <col min="12" max="12" width="14.28515625" customWidth="1"/>
    <col min="13" max="14" width="15.7109375" customWidth="1"/>
    <col min="15" max="15" width="13" customWidth="1"/>
    <col min="16" max="16" width="10.42578125" bestFit="1" customWidth="1"/>
    <col min="17" max="17" width="16.28515625" bestFit="1" customWidth="1"/>
    <col min="18" max="18" width="20.42578125" bestFit="1" customWidth="1"/>
  </cols>
  <sheetData>
    <row r="1" spans="1:4">
      <c r="A1" t="s">
        <v>316</v>
      </c>
      <c r="B1" t="s">
        <v>228</v>
      </c>
    </row>
    <row r="2" spans="1:4">
      <c r="B2" t="s">
        <v>229</v>
      </c>
      <c r="C2" t="s">
        <v>161</v>
      </c>
      <c r="D2" t="s">
        <v>230</v>
      </c>
    </row>
    <row r="3" spans="1:4">
      <c r="B3" t="s">
        <v>231</v>
      </c>
      <c r="C3" t="s">
        <v>232</v>
      </c>
      <c r="D3" t="s">
        <v>233</v>
      </c>
    </row>
    <row r="4" spans="1:4">
      <c r="B4" t="s">
        <v>234</v>
      </c>
      <c r="C4" t="s">
        <v>235</v>
      </c>
      <c r="D4" t="s">
        <v>236</v>
      </c>
    </row>
    <row r="5" spans="1:4">
      <c r="B5" t="s">
        <v>237</v>
      </c>
      <c r="C5">
        <v>1</v>
      </c>
      <c r="D5" t="s">
        <v>238</v>
      </c>
    </row>
    <row r="6" spans="1:4">
      <c r="B6" t="s">
        <v>239</v>
      </c>
      <c r="C6">
        <v>900000</v>
      </c>
      <c r="D6" t="s">
        <v>240</v>
      </c>
    </row>
    <row r="7" spans="1:4">
      <c r="B7" t="s">
        <v>241</v>
      </c>
      <c r="C7">
        <v>900000</v>
      </c>
      <c r="D7" t="s">
        <v>242</v>
      </c>
    </row>
    <row r="8" spans="1:4" ht="120">
      <c r="B8" t="s">
        <v>243</v>
      </c>
      <c r="C8" s="32" t="s">
        <v>317</v>
      </c>
      <c r="D8" s="32" t="s">
        <v>244</v>
      </c>
    </row>
    <row r="14" spans="1:4">
      <c r="B14" t="s">
        <v>245</v>
      </c>
    </row>
    <row r="22" spans="1:20">
      <c r="I22" s="41" t="s">
        <v>318</v>
      </c>
      <c r="M22" s="41" t="s">
        <v>319</v>
      </c>
      <c r="N22" s="41"/>
    </row>
    <row r="23" spans="1:20" ht="60">
      <c r="M23" s="13" t="s">
        <v>246</v>
      </c>
      <c r="N23" s="13"/>
      <c r="O23" s="1">
        <v>100</v>
      </c>
    </row>
    <row r="24" spans="1:20">
      <c r="I24" s="1" t="s">
        <v>160</v>
      </c>
      <c r="J24" s="1" t="s">
        <v>247</v>
      </c>
      <c r="K24" s="1" t="s">
        <v>320</v>
      </c>
      <c r="M24" s="1" t="s">
        <v>245</v>
      </c>
      <c r="N24" s="1" t="s">
        <v>321</v>
      </c>
      <c r="O24" s="1" t="s">
        <v>230</v>
      </c>
      <c r="P24" s="1" t="s">
        <v>248</v>
      </c>
      <c r="Q24" s="1" t="s">
        <v>249</v>
      </c>
      <c r="R24" s="1" t="s">
        <v>250</v>
      </c>
      <c r="S24" s="1" t="s">
        <v>251</v>
      </c>
      <c r="T24" s="1" t="s">
        <v>252</v>
      </c>
    </row>
    <row r="25" spans="1:20">
      <c r="B25" s="33" t="s">
        <v>253</v>
      </c>
      <c r="C25" s="1" t="s">
        <v>0</v>
      </c>
      <c r="D25" s="1" t="s">
        <v>73</v>
      </c>
      <c r="E25" s="1" t="s">
        <v>254</v>
      </c>
      <c r="I25" s="1" t="s">
        <v>255</v>
      </c>
      <c r="J25" s="1">
        <v>21</v>
      </c>
      <c r="K25" s="1" t="str">
        <f t="shared" ref="K25:K26" si="0">CONCATENATE("0x",DEC2HEX(J25,2))</f>
        <v>0x15</v>
      </c>
      <c r="M25" s="1">
        <v>100</v>
      </c>
      <c r="N25" s="1" t="str">
        <f>CONCATENATE("0x",DEC2HEX(M25,2))</f>
        <v>0x64</v>
      </c>
      <c r="O25" s="1" t="s">
        <v>264</v>
      </c>
      <c r="P25" s="1" t="s">
        <v>257</v>
      </c>
      <c r="Q25" s="1" t="s">
        <v>258</v>
      </c>
      <c r="R25" s="1">
        <v>800000</v>
      </c>
      <c r="S25" s="1" t="s">
        <v>259</v>
      </c>
      <c r="T25" s="1" t="s">
        <v>260</v>
      </c>
    </row>
    <row r="26" spans="1:20">
      <c r="B26" t="s">
        <v>261</v>
      </c>
      <c r="C26" s="1">
        <v>1</v>
      </c>
      <c r="D26" s="1">
        <v>0</v>
      </c>
      <c r="E26" s="1" t="s">
        <v>262</v>
      </c>
      <c r="I26" s="1" t="s">
        <v>263</v>
      </c>
      <c r="J26" s="1">
        <v>37</v>
      </c>
      <c r="K26" s="1" t="str">
        <f t="shared" si="0"/>
        <v>0x25</v>
      </c>
      <c r="M26" s="1">
        <v>101</v>
      </c>
      <c r="N26" s="1" t="str">
        <f>CONCATENATE("0x",DEC2HEX(M26,2))</f>
        <v>0x65</v>
      </c>
      <c r="O26" s="1" t="s">
        <v>266</v>
      </c>
      <c r="P26" s="1" t="s">
        <v>257</v>
      </c>
      <c r="Q26" s="1" t="s">
        <v>258</v>
      </c>
      <c r="R26" s="1">
        <v>0</v>
      </c>
      <c r="S26" s="1" t="s">
        <v>259</v>
      </c>
      <c r="T26" s="1" t="s">
        <v>260</v>
      </c>
    </row>
    <row r="27" spans="1:20">
      <c r="I27" s="1" t="s">
        <v>265</v>
      </c>
      <c r="J27" s="1">
        <v>54</v>
      </c>
      <c r="K27" s="1" t="str">
        <f>CONCATENATE("0x",DEC2HEX(J27,2))</f>
        <v>0x36</v>
      </c>
      <c r="M27" s="1">
        <v>102</v>
      </c>
      <c r="N27" s="1" t="str">
        <f>CONCATENATE("0x",DEC2HEX(M27,2))</f>
        <v>0x66</v>
      </c>
      <c r="O27" s="1" t="s">
        <v>256</v>
      </c>
      <c r="P27" s="1" t="s">
        <v>257</v>
      </c>
      <c r="Q27" s="1" t="s">
        <v>258</v>
      </c>
      <c r="R27" s="1">
        <v>0</v>
      </c>
      <c r="S27" s="1" t="s">
        <v>259</v>
      </c>
      <c r="T27" s="1" t="s">
        <v>260</v>
      </c>
    </row>
    <row r="28" spans="1:20">
      <c r="B28" t="s">
        <v>267</v>
      </c>
      <c r="C28" s="33" t="s">
        <v>268</v>
      </c>
      <c r="D28" s="33" t="s">
        <v>255</v>
      </c>
      <c r="E28" s="33" t="s">
        <v>263</v>
      </c>
      <c r="I28" s="44" t="s">
        <v>322</v>
      </c>
      <c r="J28" s="44">
        <v>37</v>
      </c>
      <c r="K28" s="44" t="str">
        <f t="shared" ref="K28" si="1">CONCATENATE("0x",DEC2HEX(J28,2))</f>
        <v>0x25</v>
      </c>
    </row>
    <row r="29" spans="1:20">
      <c r="A29" t="s">
        <v>269</v>
      </c>
      <c r="B29" t="s">
        <v>270</v>
      </c>
      <c r="C29" t="s">
        <v>271</v>
      </c>
      <c r="D29" t="s">
        <v>272</v>
      </c>
      <c r="E29" t="s">
        <v>273</v>
      </c>
      <c r="F29" t="s">
        <v>274</v>
      </c>
      <c r="G29" t="s">
        <v>275</v>
      </c>
      <c r="I29" s="44" t="s">
        <v>323</v>
      </c>
      <c r="J29" s="44">
        <v>54</v>
      </c>
      <c r="K29" s="44" t="str">
        <f>CONCATENATE("0x",DEC2HEX(J29,2))</f>
        <v>0x36</v>
      </c>
    </row>
    <row r="30" spans="1:20">
      <c r="B30">
        <v>800000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20">
      <c r="B31" s="34" t="s">
        <v>277</v>
      </c>
    </row>
    <row r="33" spans="1:16">
      <c r="B33" s="33" t="s">
        <v>278</v>
      </c>
      <c r="C33" s="1" t="s">
        <v>0</v>
      </c>
      <c r="D33" s="1" t="s">
        <v>73</v>
      </c>
      <c r="E33" s="1" t="s">
        <v>254</v>
      </c>
    </row>
    <row r="34" spans="1:16">
      <c r="B34" t="s">
        <v>261</v>
      </c>
      <c r="C34" s="1">
        <v>1</v>
      </c>
      <c r="D34" s="1">
        <v>11</v>
      </c>
      <c r="E34" s="1" t="s">
        <v>279</v>
      </c>
    </row>
    <row r="35" spans="1:16">
      <c r="I35" s="1" t="s">
        <v>276</v>
      </c>
      <c r="J35" s="39">
        <v>89</v>
      </c>
    </row>
    <row r="36" spans="1:16">
      <c r="A36" s="33" t="s">
        <v>280</v>
      </c>
      <c r="B36" t="s">
        <v>267</v>
      </c>
      <c r="C36" s="33" t="s">
        <v>281</v>
      </c>
      <c r="D36" s="33" t="s">
        <v>255</v>
      </c>
      <c r="E36" s="33" t="s">
        <v>263</v>
      </c>
    </row>
    <row r="37" spans="1:16">
      <c r="A37" t="s">
        <v>269</v>
      </c>
      <c r="B37" t="s">
        <v>270</v>
      </c>
      <c r="C37" t="s">
        <v>271</v>
      </c>
      <c r="D37" t="s">
        <v>272</v>
      </c>
      <c r="E37" t="s">
        <v>273</v>
      </c>
      <c r="F37" t="s">
        <v>274</v>
      </c>
      <c r="G37" t="s">
        <v>275</v>
      </c>
    </row>
    <row r="38" spans="1:16" ht="60">
      <c r="B38">
        <v>800000</v>
      </c>
      <c r="C38">
        <v>0</v>
      </c>
      <c r="D38">
        <v>0</v>
      </c>
      <c r="E38">
        <v>0</v>
      </c>
      <c r="F38">
        <v>0</v>
      </c>
      <c r="G38">
        <v>0</v>
      </c>
      <c r="O38" s="32" t="s">
        <v>282</v>
      </c>
      <c r="P38" s="38">
        <v>3991</v>
      </c>
    </row>
    <row r="39" spans="1:16" ht="37.9" customHeight="1">
      <c r="B39" s="34" t="s">
        <v>277</v>
      </c>
      <c r="I39" s="32" t="s">
        <v>283</v>
      </c>
      <c r="J39" s="38">
        <v>2199</v>
      </c>
    </row>
    <row r="41" spans="1:16">
      <c r="A41" s="33" t="s">
        <v>285</v>
      </c>
      <c r="C41" t="s">
        <v>286</v>
      </c>
      <c r="D41" t="s">
        <v>287</v>
      </c>
      <c r="I41" s="35" t="s">
        <v>288</v>
      </c>
      <c r="J41" s="35" t="s">
        <v>289</v>
      </c>
      <c r="K41" s="35" t="s">
        <v>290</v>
      </c>
      <c r="L41" s="35" t="s">
        <v>291</v>
      </c>
      <c r="M41" s="35" t="s">
        <v>292</v>
      </c>
      <c r="N41" s="37" t="s">
        <v>293</v>
      </c>
      <c r="O41" s="37" t="s">
        <v>251</v>
      </c>
      <c r="P41" s="37" t="s">
        <v>252</v>
      </c>
    </row>
    <row r="42" spans="1:16" ht="30">
      <c r="A42" t="s">
        <v>269</v>
      </c>
      <c r="B42" t="s">
        <v>270</v>
      </c>
      <c r="C42" t="s">
        <v>271</v>
      </c>
      <c r="D42" t="s">
        <v>272</v>
      </c>
      <c r="I42" s="35">
        <v>2500</v>
      </c>
      <c r="J42" s="36" t="s">
        <v>253</v>
      </c>
      <c r="K42" s="35" t="s">
        <v>294</v>
      </c>
      <c r="L42" s="35">
        <v>4100</v>
      </c>
      <c r="M42" s="35">
        <v>65535</v>
      </c>
      <c r="N42" t="s">
        <v>295</v>
      </c>
      <c r="O42" s="1" t="s">
        <v>259</v>
      </c>
      <c r="P42" s="1" t="s">
        <v>260</v>
      </c>
    </row>
    <row r="43" spans="1:16">
      <c r="B43">
        <v>0</v>
      </c>
      <c r="C43">
        <v>0.1</v>
      </c>
      <c r="D43">
        <v>0</v>
      </c>
    </row>
    <row r="44" spans="1:16">
      <c r="C44" s="34" t="s">
        <v>296</v>
      </c>
      <c r="G44" s="41" t="s">
        <v>324</v>
      </c>
      <c r="I44" t="s">
        <v>253</v>
      </c>
      <c r="J44" s="1" t="s">
        <v>297</v>
      </c>
      <c r="K44" s="1" t="s">
        <v>290</v>
      </c>
      <c r="L44" s="1" t="s">
        <v>298</v>
      </c>
      <c r="M44" t="s">
        <v>299</v>
      </c>
    </row>
    <row r="45" spans="1:16">
      <c r="J45" s="1">
        <v>4100</v>
      </c>
      <c r="K45" s="1" t="s">
        <v>300</v>
      </c>
      <c r="L45" s="1"/>
      <c r="M45" t="str">
        <f>K25</f>
        <v>0x15</v>
      </c>
    </row>
    <row r="46" spans="1:16">
      <c r="A46" s="33" t="s">
        <v>302</v>
      </c>
      <c r="C46" t="s">
        <v>303</v>
      </c>
      <c r="D46" t="s">
        <v>255</v>
      </c>
      <c r="J46" s="42">
        <v>4101</v>
      </c>
      <c r="K46" s="1" t="s">
        <v>300</v>
      </c>
      <c r="L46" s="1"/>
      <c r="M46" t="str">
        <f>K26</f>
        <v>0x25</v>
      </c>
    </row>
    <row r="47" spans="1:16">
      <c r="B47" t="s">
        <v>270</v>
      </c>
      <c r="C47" t="s">
        <v>271</v>
      </c>
      <c r="D47" t="s">
        <v>272</v>
      </c>
      <c r="J47" s="1">
        <v>4102</v>
      </c>
      <c r="K47" s="1" t="s">
        <v>269</v>
      </c>
      <c r="L47" s="1" t="s">
        <v>305</v>
      </c>
    </row>
    <row r="48" spans="1:16">
      <c r="B48">
        <v>10000</v>
      </c>
      <c r="C48">
        <v>0</v>
      </c>
      <c r="D48">
        <v>0</v>
      </c>
      <c r="J48" s="1">
        <v>4103</v>
      </c>
      <c r="K48" s="1" t="s">
        <v>269</v>
      </c>
      <c r="L48" s="1">
        <v>0</v>
      </c>
    </row>
    <row r="49" spans="2:16">
      <c r="B49" s="34" t="s">
        <v>306</v>
      </c>
      <c r="J49" s="1">
        <v>4104</v>
      </c>
      <c r="K49" s="1" t="s">
        <v>269</v>
      </c>
      <c r="L49" s="1">
        <v>0</v>
      </c>
    </row>
    <row r="50" spans="2:16">
      <c r="J50" s="1">
        <v>4105</v>
      </c>
      <c r="K50" s="1" t="s">
        <v>269</v>
      </c>
      <c r="L50" s="1">
        <v>0</v>
      </c>
    </row>
    <row r="51" spans="2:16">
      <c r="J51" s="1">
        <v>4106</v>
      </c>
      <c r="K51" s="1" t="s">
        <v>269</v>
      </c>
      <c r="L51" s="1">
        <v>0</v>
      </c>
    </row>
    <row r="52" spans="2:16">
      <c r="J52" s="1">
        <v>4107</v>
      </c>
      <c r="K52" s="1" t="s">
        <v>269</v>
      </c>
      <c r="L52" s="1">
        <v>0</v>
      </c>
    </row>
    <row r="55" spans="2:16">
      <c r="I55" s="35" t="s">
        <v>288</v>
      </c>
      <c r="J55" s="35" t="s">
        <v>289</v>
      </c>
      <c r="K55" s="35" t="s">
        <v>290</v>
      </c>
      <c r="L55" s="35" t="s">
        <v>291</v>
      </c>
      <c r="M55" s="35" t="s">
        <v>292</v>
      </c>
      <c r="N55" s="37" t="s">
        <v>293</v>
      </c>
      <c r="O55" s="37" t="s">
        <v>251</v>
      </c>
      <c r="P55" s="37" t="s">
        <v>252</v>
      </c>
    </row>
    <row r="56" spans="2:16" ht="60">
      <c r="I56" s="35">
        <v>2501</v>
      </c>
      <c r="J56" s="36" t="s">
        <v>307</v>
      </c>
      <c r="K56" s="35" t="s">
        <v>294</v>
      </c>
      <c r="L56" s="35">
        <v>4108</v>
      </c>
      <c r="M56" s="35">
        <v>2502</v>
      </c>
      <c r="N56" t="s">
        <v>295</v>
      </c>
      <c r="O56" s="1" t="s">
        <v>259</v>
      </c>
      <c r="P56" s="1" t="s">
        <v>260</v>
      </c>
    </row>
    <row r="58" spans="2:16">
      <c r="I58" s="32" t="s">
        <v>308</v>
      </c>
      <c r="J58" s="1" t="s">
        <v>297</v>
      </c>
      <c r="K58" s="1" t="s">
        <v>290</v>
      </c>
      <c r="L58" s="1" t="s">
        <v>298</v>
      </c>
      <c r="M58" t="s">
        <v>299</v>
      </c>
    </row>
    <row r="59" spans="2:16">
      <c r="J59" s="1">
        <v>4108</v>
      </c>
      <c r="K59" s="1" t="s">
        <v>300</v>
      </c>
      <c r="L59" s="1"/>
      <c r="M59" t="str">
        <f>K25</f>
        <v>0x15</v>
      </c>
    </row>
    <row r="60" spans="2:16">
      <c r="J60" s="42">
        <v>4109</v>
      </c>
      <c r="K60" s="1" t="s">
        <v>300</v>
      </c>
      <c r="L60" s="1"/>
      <c r="M60" t="str">
        <f>K26</f>
        <v>0x25</v>
      </c>
    </row>
    <row r="61" spans="2:16">
      <c r="J61" s="1">
        <v>4110</v>
      </c>
      <c r="K61" s="1" t="s">
        <v>269</v>
      </c>
      <c r="L61" s="1" t="s">
        <v>305</v>
      </c>
    </row>
    <row r="62" spans="2:16">
      <c r="J62" s="1">
        <v>4111</v>
      </c>
      <c r="K62" s="1" t="s">
        <v>269</v>
      </c>
      <c r="L62" s="1">
        <v>0</v>
      </c>
    </row>
    <row r="63" spans="2:16">
      <c r="J63" s="1">
        <v>4112</v>
      </c>
      <c r="K63" s="1" t="s">
        <v>269</v>
      </c>
      <c r="L63" s="1">
        <v>0</v>
      </c>
    </row>
    <row r="64" spans="2:16">
      <c r="J64" s="1">
        <v>4113</v>
      </c>
      <c r="K64" s="1" t="s">
        <v>269</v>
      </c>
      <c r="L64" s="1">
        <v>0</v>
      </c>
    </row>
    <row r="65" spans="9:16">
      <c r="J65" s="1">
        <v>4114</v>
      </c>
      <c r="K65" s="1" t="s">
        <v>269</v>
      </c>
      <c r="L65" s="1">
        <v>0</v>
      </c>
    </row>
    <row r="66" spans="9:16">
      <c r="J66" s="1">
        <v>4115</v>
      </c>
      <c r="K66" s="1" t="s">
        <v>269</v>
      </c>
      <c r="L66" s="1">
        <v>0</v>
      </c>
    </row>
    <row r="68" spans="9:16">
      <c r="I68" s="35" t="s">
        <v>288</v>
      </c>
      <c r="J68" s="35" t="s">
        <v>289</v>
      </c>
      <c r="K68" s="35" t="s">
        <v>290</v>
      </c>
      <c r="L68" s="35" t="s">
        <v>291</v>
      </c>
      <c r="M68" s="35" t="s">
        <v>292</v>
      </c>
      <c r="N68" s="35" t="s">
        <v>293</v>
      </c>
      <c r="O68" s="35" t="s">
        <v>251</v>
      </c>
      <c r="P68" s="35" t="s">
        <v>252</v>
      </c>
    </row>
    <row r="69" spans="9:16" ht="75">
      <c r="I69" s="35">
        <v>2502</v>
      </c>
      <c r="J69" s="36" t="s">
        <v>309</v>
      </c>
      <c r="K69" s="35" t="s">
        <v>294</v>
      </c>
      <c r="L69" s="35">
        <v>4116</v>
      </c>
      <c r="M69" s="35">
        <v>2503</v>
      </c>
      <c r="N69" s="1" t="s">
        <v>310</v>
      </c>
      <c r="O69" s="1" t="s">
        <v>259</v>
      </c>
      <c r="P69" s="1" t="s">
        <v>260</v>
      </c>
    </row>
    <row r="71" spans="9:16">
      <c r="I71" s="32" t="s">
        <v>311</v>
      </c>
      <c r="J71" s="1" t="s">
        <v>297</v>
      </c>
      <c r="K71" s="1" t="s">
        <v>290</v>
      </c>
      <c r="L71" s="1" t="s">
        <v>298</v>
      </c>
      <c r="M71" t="s">
        <v>299</v>
      </c>
    </row>
    <row r="72" spans="9:16">
      <c r="J72" s="42">
        <v>4116</v>
      </c>
      <c r="K72" s="1" t="s">
        <v>300</v>
      </c>
      <c r="L72" s="1"/>
      <c r="M72" s="40" t="str">
        <f>N27</f>
        <v>0x66</v>
      </c>
    </row>
    <row r="73" spans="9:16">
      <c r="J73" s="1">
        <v>4117</v>
      </c>
      <c r="K73" s="1" t="s">
        <v>269</v>
      </c>
      <c r="L73" s="1">
        <v>0</v>
      </c>
    </row>
    <row r="74" spans="9:16">
      <c r="J74" s="1">
        <v>4118</v>
      </c>
      <c r="K74" s="1" t="s">
        <v>269</v>
      </c>
      <c r="L74" s="1" t="s">
        <v>313</v>
      </c>
    </row>
    <row r="75" spans="9:16">
      <c r="J75" s="1">
        <v>4119</v>
      </c>
      <c r="K75" s="1" t="s">
        <v>269</v>
      </c>
      <c r="L75" s="1">
        <v>0</v>
      </c>
    </row>
    <row r="78" spans="9:16">
      <c r="I78" s="35" t="s">
        <v>288</v>
      </c>
      <c r="J78" s="35" t="s">
        <v>289</v>
      </c>
      <c r="K78" s="35" t="s">
        <v>290</v>
      </c>
      <c r="L78" s="35" t="s">
        <v>291</v>
      </c>
      <c r="M78" s="35" t="s">
        <v>292</v>
      </c>
      <c r="N78" s="35" t="s">
        <v>293</v>
      </c>
      <c r="O78" s="35" t="s">
        <v>251</v>
      </c>
      <c r="P78" s="35" t="s">
        <v>252</v>
      </c>
    </row>
    <row r="79" spans="9:16" ht="90">
      <c r="I79" s="35">
        <v>2503</v>
      </c>
      <c r="J79" s="36" t="s">
        <v>314</v>
      </c>
      <c r="K79" s="35" t="s">
        <v>294</v>
      </c>
      <c r="L79" s="35">
        <v>4120</v>
      </c>
      <c r="M79" s="35">
        <v>65535</v>
      </c>
      <c r="N79" s="1" t="s">
        <v>310</v>
      </c>
      <c r="O79" s="1" t="s">
        <v>259</v>
      </c>
      <c r="P79" s="1" t="s">
        <v>260</v>
      </c>
    </row>
    <row r="81" spans="9:13">
      <c r="I81" s="32" t="s">
        <v>311</v>
      </c>
      <c r="J81" s="1" t="s">
        <v>297</v>
      </c>
      <c r="K81" s="1" t="s">
        <v>290</v>
      </c>
      <c r="L81" s="1" t="s">
        <v>298</v>
      </c>
      <c r="M81" t="s">
        <v>299</v>
      </c>
    </row>
    <row r="82" spans="9:13">
      <c r="J82" s="1">
        <v>4120</v>
      </c>
      <c r="K82" s="1" t="s">
        <v>300</v>
      </c>
      <c r="L82" s="1"/>
      <c r="M82" t="str">
        <f>K25</f>
        <v>0x15</v>
      </c>
    </row>
    <row r="83" spans="9:13">
      <c r="J83" s="1">
        <v>4121</v>
      </c>
      <c r="K83" s="1" t="s">
        <v>269</v>
      </c>
      <c r="L83" s="1" t="s">
        <v>315</v>
      </c>
    </row>
    <row r="84" spans="9:13">
      <c r="J84" s="1">
        <v>4122</v>
      </c>
      <c r="K84" s="1" t="s">
        <v>269</v>
      </c>
      <c r="L84" s="1">
        <v>0</v>
      </c>
    </row>
    <row r="85" spans="9:13">
      <c r="J85" s="1">
        <v>4123</v>
      </c>
      <c r="K85" s="1" t="s">
        <v>269</v>
      </c>
      <c r="L85" s="1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F1A6-990A-4F40-944F-E5D56D203F1E}">
  <dimension ref="B1:H14"/>
  <sheetViews>
    <sheetView workbookViewId="0">
      <selection activeCell="B2" sqref="B2"/>
    </sheetView>
  </sheetViews>
  <sheetFormatPr defaultRowHeight="15"/>
  <cols>
    <col min="2" max="2" width="13.42578125" bestFit="1" customWidth="1"/>
    <col min="3" max="3" width="11" bestFit="1" customWidth="1"/>
    <col min="4" max="4" width="22.140625" bestFit="1" customWidth="1"/>
    <col min="5" max="5" width="27" bestFit="1" customWidth="1"/>
    <col min="6" max="6" width="26.28515625" bestFit="1" customWidth="1"/>
    <col min="7" max="7" width="16.42578125" bestFit="1" customWidth="1"/>
    <col min="8" max="8" width="20.28515625" bestFit="1" customWidth="1"/>
  </cols>
  <sheetData>
    <row r="1" spans="2:8">
      <c r="B1" t="s">
        <v>325</v>
      </c>
      <c r="D1" t="s">
        <v>326</v>
      </c>
      <c r="E1" t="s">
        <v>327</v>
      </c>
      <c r="F1">
        <v>100</v>
      </c>
      <c r="G1">
        <v>4100</v>
      </c>
      <c r="H1">
        <v>2500</v>
      </c>
    </row>
    <row r="3" spans="2:8">
      <c r="B3" s="1" t="s">
        <v>328</v>
      </c>
      <c r="C3" s="1" t="s">
        <v>329</v>
      </c>
      <c r="D3" s="1" t="s">
        <v>330</v>
      </c>
      <c r="E3" s="1" t="s">
        <v>331</v>
      </c>
      <c r="F3" s="1" t="s">
        <v>332</v>
      </c>
      <c r="G3" s="1" t="s">
        <v>333</v>
      </c>
      <c r="H3" s="1" t="s">
        <v>334</v>
      </c>
    </row>
    <row r="4" spans="2:8">
      <c r="B4" s="1"/>
      <c r="C4" s="1"/>
      <c r="D4" s="1"/>
      <c r="E4" s="1"/>
      <c r="F4" s="1"/>
      <c r="G4" s="1"/>
      <c r="H4" s="1"/>
    </row>
    <row r="5" spans="2:8">
      <c r="B5" s="1"/>
      <c r="C5" s="1"/>
      <c r="D5" s="1"/>
      <c r="E5" s="1"/>
      <c r="F5" s="1"/>
      <c r="G5" s="1"/>
      <c r="H5" s="1"/>
    </row>
    <row r="6" spans="2:8">
      <c r="B6" s="1"/>
      <c r="C6" s="1"/>
      <c r="D6" s="1"/>
      <c r="E6" s="1"/>
      <c r="F6" s="1"/>
      <c r="G6" s="1"/>
      <c r="H6" s="1"/>
    </row>
    <row r="7" spans="2:8">
      <c r="B7" s="1"/>
      <c r="C7" s="1"/>
      <c r="D7" s="1"/>
      <c r="E7" s="1"/>
      <c r="F7" s="1"/>
      <c r="G7" s="1"/>
      <c r="H7" s="1"/>
    </row>
    <row r="8" spans="2:8">
      <c r="B8" s="1"/>
      <c r="C8" s="1"/>
      <c r="D8" s="1"/>
      <c r="E8" s="1"/>
      <c r="F8" s="1"/>
      <c r="G8" s="1"/>
      <c r="H8" s="1"/>
    </row>
    <row r="9" spans="2:8">
      <c r="B9" s="1"/>
      <c r="C9" s="1"/>
      <c r="D9" s="1"/>
      <c r="E9" s="1"/>
      <c r="F9" s="1"/>
      <c r="G9" s="1"/>
      <c r="H9" s="1"/>
    </row>
    <row r="10" spans="2:8">
      <c r="B10" s="1"/>
      <c r="C10" s="1"/>
      <c r="D10" s="1"/>
      <c r="E10" s="1"/>
      <c r="F10" s="1"/>
      <c r="G10" s="1"/>
      <c r="H10" s="1"/>
    </row>
    <row r="11" spans="2:8">
      <c r="B11" s="1"/>
      <c r="C11" s="1"/>
      <c r="D11" s="1"/>
      <c r="E11" s="1"/>
      <c r="F11" s="1"/>
      <c r="G11" s="1"/>
      <c r="H11" s="1"/>
    </row>
    <row r="12" spans="2:8">
      <c r="B12" s="1"/>
      <c r="C12" s="1"/>
      <c r="D12" s="1"/>
      <c r="E12" s="1"/>
      <c r="F12" s="1"/>
      <c r="G12" s="1"/>
      <c r="H12" s="1"/>
    </row>
    <row r="13" spans="2:8">
      <c r="B13" s="1"/>
      <c r="C13" s="1"/>
      <c r="D13" s="1"/>
      <c r="E13" s="1"/>
      <c r="F13" s="1"/>
      <c r="G13" s="1"/>
      <c r="H13" s="1"/>
    </row>
    <row r="14" spans="2:8">
      <c r="B14" s="1"/>
      <c r="C14" s="1"/>
      <c r="D14" s="1"/>
      <c r="E14" s="1"/>
      <c r="F14" s="1"/>
      <c r="G14" s="1"/>
      <c r="H14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083d15-7273-40c1-b7db-39efd9ccc17a}" enabled="0" method="" siteId="{43083d15-7273-40c1-b7db-39efd9ccc1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Ramya Raman</dc:creator>
  <cp:keywords/>
  <dc:description/>
  <cp:lastModifiedBy/>
  <cp:revision/>
  <dcterms:created xsi:type="dcterms:W3CDTF">2025-09-08T17:35:35Z</dcterms:created>
  <dcterms:modified xsi:type="dcterms:W3CDTF">2026-02-03T19:23:35Z</dcterms:modified>
  <cp:category/>
  <cp:contentStatus/>
</cp:coreProperties>
</file>